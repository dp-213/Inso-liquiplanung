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S:\KGO\"/>
    </mc:Choice>
  </mc:AlternateContent>
  <xr:revisionPtr revIDLastSave="0" documentId="8_{20024954-72FE-48E4-9947-72A0DADBCC2C}" xr6:coauthVersionLast="47" xr6:coauthVersionMax="47" xr10:uidLastSave="{00000000-0000-0000-0000-000000000000}"/>
  <bookViews>
    <workbookView xWindow="28680" yWindow="-120" windowWidth="29040" windowHeight="17640" tabRatio="796" xr2:uid="{00000000-000D-0000-FFFF-FFFF00000000}"/>
  </bookViews>
  <sheets>
    <sheet name="PLAN Zahlen" sheetId="1" r:id="rId1"/>
    <sheet name="IST Zahlen" sheetId="2" r:id="rId2"/>
    <sheet name="Vergleich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C33" i="2" l="1"/>
  <c r="AC52" i="2"/>
  <c r="AB16" i="2"/>
  <c r="AB43" i="2"/>
  <c r="AA52" i="2"/>
  <c r="AA39" i="2"/>
  <c r="Z39" i="2"/>
  <c r="Y40" i="2"/>
  <c r="Y39" i="2"/>
  <c r="X43" i="2"/>
  <c r="X39" i="2"/>
  <c r="X15" i="2"/>
  <c r="W43" i="2"/>
  <c r="W39" i="2"/>
  <c r="W54" i="2" s="1"/>
  <c r="C39" i="2"/>
  <c r="W15" i="2"/>
  <c r="V46" i="2"/>
  <c r="V47" i="2"/>
  <c r="V39" i="2"/>
  <c r="U39" i="2"/>
  <c r="U21" i="2"/>
  <c r="T39" i="2"/>
  <c r="T21" i="2"/>
  <c r="T20" i="2"/>
  <c r="T43" i="2"/>
  <c r="T32" i="2"/>
  <c r="T15" i="2"/>
  <c r="S39" i="2"/>
  <c r="S21" i="2"/>
  <c r="S15" i="2"/>
  <c r="AG14" i="3" s="1"/>
  <c r="R18" i="2"/>
  <c r="S17" i="2"/>
  <c r="Q17" i="2"/>
  <c r="P25" i="2"/>
  <c r="AA24" i="3" s="1"/>
  <c r="I56" i="1"/>
  <c r="L53" i="3" s="1"/>
  <c r="K56" i="1"/>
  <c r="I34" i="1"/>
  <c r="J34" i="1"/>
  <c r="K34" i="1"/>
  <c r="L34" i="1"/>
  <c r="M34" i="1"/>
  <c r="N34" i="1"/>
  <c r="O34" i="1"/>
  <c r="P34" i="1"/>
  <c r="P56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H34" i="1"/>
  <c r="H56" i="1"/>
  <c r="G35" i="1"/>
  <c r="G34" i="1"/>
  <c r="F45" i="1"/>
  <c r="F41" i="1"/>
  <c r="F35" i="1"/>
  <c r="F34" i="1"/>
  <c r="AD39" i="2"/>
  <c r="AD33" i="2"/>
  <c r="AD32" i="2"/>
  <c r="AD36" i="2" s="1"/>
  <c r="AB33" i="2"/>
  <c r="V43" i="2"/>
  <c r="U43" i="2"/>
  <c r="S33" i="2"/>
  <c r="S32" i="2"/>
  <c r="S43" i="2"/>
  <c r="R32" i="2"/>
  <c r="P43" i="2"/>
  <c r="AA42" i="3" s="1"/>
  <c r="L56" i="1"/>
  <c r="R53" i="3" s="1"/>
  <c r="M56" i="1"/>
  <c r="T53" i="3" s="1"/>
  <c r="Q56" i="1"/>
  <c r="F27" i="1"/>
  <c r="G27" i="1"/>
  <c r="V25" i="2"/>
  <c r="G15" i="3"/>
  <c r="U14" i="3"/>
  <c r="N54" i="2"/>
  <c r="M54" i="2"/>
  <c r="L54" i="2"/>
  <c r="K54" i="2"/>
  <c r="J54" i="2"/>
  <c r="I54" i="2"/>
  <c r="H54" i="2"/>
  <c r="G54" i="2"/>
  <c r="G56" i="2" s="1"/>
  <c r="I55" i="3" s="1"/>
  <c r="F54" i="2"/>
  <c r="O56" i="1"/>
  <c r="O58" i="1" s="1"/>
  <c r="X55" i="3" s="1"/>
  <c r="N56" i="1"/>
  <c r="J56" i="1"/>
  <c r="J58" i="1" s="1"/>
  <c r="N55" i="3" s="1"/>
  <c r="G38" i="1"/>
  <c r="F38" i="1"/>
  <c r="F56" i="1" s="1"/>
  <c r="U54" i="2"/>
  <c r="G56" i="1"/>
  <c r="H53" i="3" s="1"/>
  <c r="C23" i="2"/>
  <c r="C22" i="2"/>
  <c r="C16" i="2"/>
  <c r="C15" i="2"/>
  <c r="B23" i="2"/>
  <c r="B22" i="2"/>
  <c r="B21" i="2"/>
  <c r="B17" i="2"/>
  <c r="B16" i="2"/>
  <c r="B15" i="2"/>
  <c r="AE52" i="3"/>
  <c r="AE51" i="3"/>
  <c r="AE50" i="3"/>
  <c r="AE49" i="3"/>
  <c r="AE48" i="3"/>
  <c r="AE47" i="3"/>
  <c r="AE46" i="3"/>
  <c r="AD52" i="3"/>
  <c r="AD51" i="3"/>
  <c r="AD50" i="3"/>
  <c r="AD49" i="3"/>
  <c r="AD48" i="3"/>
  <c r="AD47" i="3"/>
  <c r="AD46" i="3"/>
  <c r="AC52" i="3"/>
  <c r="AC51" i="3"/>
  <c r="AC50" i="3"/>
  <c r="AC49" i="3"/>
  <c r="AC48" i="3"/>
  <c r="AC47" i="3"/>
  <c r="AC46" i="3"/>
  <c r="AB52" i="3"/>
  <c r="AB51" i="3"/>
  <c r="AB50" i="3"/>
  <c r="AB49" i="3"/>
  <c r="AB48" i="3"/>
  <c r="AB47" i="3"/>
  <c r="AB46" i="3"/>
  <c r="AA52" i="3"/>
  <c r="AA51" i="3"/>
  <c r="AA50" i="3"/>
  <c r="AA49" i="3"/>
  <c r="AA48" i="3"/>
  <c r="AA47" i="3"/>
  <c r="AA46" i="3"/>
  <c r="Z52" i="3"/>
  <c r="Z51" i="3"/>
  <c r="Z50" i="3"/>
  <c r="Z49" i="3"/>
  <c r="Z48" i="3"/>
  <c r="Z47" i="3"/>
  <c r="Z46" i="3"/>
  <c r="Y52" i="3"/>
  <c r="Y51" i="3"/>
  <c r="Y50" i="3"/>
  <c r="Y49" i="3"/>
  <c r="Y48" i="3"/>
  <c r="Y47" i="3"/>
  <c r="Y46" i="3"/>
  <c r="X52" i="3"/>
  <c r="X51" i="3"/>
  <c r="X50" i="3"/>
  <c r="X49" i="3"/>
  <c r="X48" i="3"/>
  <c r="X47" i="3"/>
  <c r="X46" i="3"/>
  <c r="W52" i="3"/>
  <c r="W51" i="3"/>
  <c r="W50" i="3"/>
  <c r="W49" i="3"/>
  <c r="W48" i="3"/>
  <c r="W47" i="3"/>
  <c r="W46" i="3"/>
  <c r="V52" i="3"/>
  <c r="V51" i="3"/>
  <c r="V50" i="3"/>
  <c r="V49" i="3"/>
  <c r="V48" i="3"/>
  <c r="V47" i="3"/>
  <c r="V46" i="3"/>
  <c r="U52" i="3"/>
  <c r="U51" i="3"/>
  <c r="U50" i="3"/>
  <c r="U49" i="3"/>
  <c r="U48" i="3"/>
  <c r="U47" i="3"/>
  <c r="U46" i="3"/>
  <c r="S52" i="3"/>
  <c r="S51" i="3"/>
  <c r="S50" i="3"/>
  <c r="S49" i="3"/>
  <c r="S48" i="3"/>
  <c r="S47" i="3"/>
  <c r="S46" i="3"/>
  <c r="T52" i="3"/>
  <c r="T51" i="3"/>
  <c r="T50" i="3"/>
  <c r="T49" i="3"/>
  <c r="T48" i="3"/>
  <c r="T47" i="3"/>
  <c r="T46" i="3"/>
  <c r="T45" i="3"/>
  <c r="R52" i="3"/>
  <c r="R51" i="3"/>
  <c r="R50" i="3"/>
  <c r="R49" i="3"/>
  <c r="R48" i="3"/>
  <c r="R47" i="3"/>
  <c r="R46" i="3"/>
  <c r="Q52" i="3"/>
  <c r="Q51" i="3"/>
  <c r="Q50" i="3"/>
  <c r="Q49" i="3"/>
  <c r="Q48" i="3"/>
  <c r="Q47" i="3"/>
  <c r="Q46" i="3"/>
  <c r="P52" i="3"/>
  <c r="P51" i="3"/>
  <c r="P50" i="3"/>
  <c r="P49" i="3"/>
  <c r="P48" i="3"/>
  <c r="P47" i="3"/>
  <c r="P46" i="3"/>
  <c r="O52" i="3"/>
  <c r="O51" i="3"/>
  <c r="O50" i="3"/>
  <c r="O49" i="3"/>
  <c r="O48" i="3"/>
  <c r="O47" i="3"/>
  <c r="O46" i="3"/>
  <c r="N52" i="3"/>
  <c r="N51" i="3"/>
  <c r="N50" i="3"/>
  <c r="N49" i="3"/>
  <c r="N48" i="3"/>
  <c r="N47" i="3"/>
  <c r="N46" i="3"/>
  <c r="M52" i="3"/>
  <c r="M51" i="3"/>
  <c r="M50" i="3"/>
  <c r="M49" i="3"/>
  <c r="M48" i="3"/>
  <c r="M47" i="3"/>
  <c r="M46" i="3"/>
  <c r="L52" i="3"/>
  <c r="L51" i="3"/>
  <c r="L50" i="3"/>
  <c r="L49" i="3"/>
  <c r="L48" i="3"/>
  <c r="L47" i="3"/>
  <c r="L46" i="3"/>
  <c r="K52" i="3"/>
  <c r="K51" i="3"/>
  <c r="K50" i="3"/>
  <c r="K49" i="3"/>
  <c r="K48" i="3"/>
  <c r="K47" i="3"/>
  <c r="K46" i="3"/>
  <c r="J52" i="3"/>
  <c r="J51" i="3"/>
  <c r="J50" i="3"/>
  <c r="J49" i="3"/>
  <c r="J48" i="3"/>
  <c r="J47" i="3"/>
  <c r="J46" i="3"/>
  <c r="I52" i="3"/>
  <c r="I51" i="3"/>
  <c r="I50" i="3"/>
  <c r="I49" i="3"/>
  <c r="I48" i="3"/>
  <c r="I47" i="3"/>
  <c r="I46" i="3"/>
  <c r="H52" i="3"/>
  <c r="H51" i="3"/>
  <c r="H50" i="3"/>
  <c r="H49" i="3"/>
  <c r="H48" i="3"/>
  <c r="H47" i="3"/>
  <c r="H46" i="3"/>
  <c r="G52" i="3"/>
  <c r="G51" i="3"/>
  <c r="G50" i="3"/>
  <c r="G49" i="3"/>
  <c r="G48" i="3"/>
  <c r="G47" i="3"/>
  <c r="G46" i="3"/>
  <c r="G45" i="3"/>
  <c r="F52" i="3"/>
  <c r="F51" i="3"/>
  <c r="F50" i="3"/>
  <c r="F49" i="3"/>
  <c r="F48" i="3"/>
  <c r="F47" i="3"/>
  <c r="F46" i="3"/>
  <c r="AG23" i="3"/>
  <c r="AG22" i="3"/>
  <c r="AG21" i="3"/>
  <c r="AG20" i="3"/>
  <c r="AG19" i="3"/>
  <c r="AG18" i="3"/>
  <c r="AG17" i="3"/>
  <c r="AG16" i="3"/>
  <c r="AG15" i="3"/>
  <c r="AG13" i="3"/>
  <c r="AG12" i="3"/>
  <c r="AE23" i="3"/>
  <c r="AE22" i="3"/>
  <c r="AE21" i="3"/>
  <c r="AE20" i="3"/>
  <c r="AE19" i="3"/>
  <c r="AE18" i="3"/>
  <c r="AE17" i="3"/>
  <c r="AE16" i="3"/>
  <c r="AE15" i="3"/>
  <c r="AE14" i="3"/>
  <c r="AE13" i="3"/>
  <c r="AA23" i="3"/>
  <c r="AA22" i="3"/>
  <c r="AA21" i="3"/>
  <c r="AA20" i="3"/>
  <c r="AA19" i="3"/>
  <c r="AA18" i="3"/>
  <c r="AA17" i="3"/>
  <c r="AA16" i="3"/>
  <c r="AA15" i="3"/>
  <c r="AA14" i="3"/>
  <c r="AA13" i="3"/>
  <c r="AC23" i="3"/>
  <c r="AC22" i="3"/>
  <c r="AC21" i="3"/>
  <c r="AC20" i="3"/>
  <c r="AC19" i="3"/>
  <c r="AC18" i="3"/>
  <c r="AC17" i="3"/>
  <c r="AC16" i="3"/>
  <c r="AC15" i="3"/>
  <c r="AC14" i="3"/>
  <c r="AF23" i="3"/>
  <c r="AF22" i="3"/>
  <c r="AF21" i="3"/>
  <c r="AF20" i="3"/>
  <c r="AF19" i="3"/>
  <c r="AF18" i="3"/>
  <c r="AF17" i="3"/>
  <c r="AF16" i="3"/>
  <c r="AD23" i="3"/>
  <c r="AD22" i="3"/>
  <c r="AD21" i="3"/>
  <c r="AD20" i="3"/>
  <c r="AD19" i="3"/>
  <c r="AD18" i="3"/>
  <c r="AD17" i="3"/>
  <c r="AD16" i="3"/>
  <c r="AB23" i="3"/>
  <c r="AB22" i="3"/>
  <c r="AB21" i="3"/>
  <c r="AB20" i="3"/>
  <c r="AB19" i="3"/>
  <c r="AB18" i="3"/>
  <c r="AB17" i="3"/>
  <c r="AB16" i="3"/>
  <c r="Z23" i="3"/>
  <c r="Z22" i="3"/>
  <c r="Z21" i="3"/>
  <c r="Z20" i="3"/>
  <c r="Z19" i="3"/>
  <c r="Z18" i="3"/>
  <c r="Z17" i="3"/>
  <c r="Z16" i="3"/>
  <c r="Y23" i="3"/>
  <c r="Y22" i="3"/>
  <c r="Y21" i="3"/>
  <c r="Y20" i="3"/>
  <c r="Y19" i="3"/>
  <c r="Y18" i="3"/>
  <c r="Y17" i="3"/>
  <c r="Y16" i="3"/>
  <c r="Y15" i="3"/>
  <c r="X23" i="3"/>
  <c r="X22" i="3"/>
  <c r="X21" i="3"/>
  <c r="X20" i="3"/>
  <c r="X19" i="3"/>
  <c r="X18" i="3"/>
  <c r="X17" i="3"/>
  <c r="X16" i="3"/>
  <c r="X15" i="3"/>
  <c r="W23" i="3"/>
  <c r="W22" i="3"/>
  <c r="W21" i="3"/>
  <c r="W20" i="3"/>
  <c r="W19" i="3"/>
  <c r="W18" i="3"/>
  <c r="W17" i="3"/>
  <c r="W16" i="3"/>
  <c r="W15" i="3"/>
  <c r="W14" i="3"/>
  <c r="U23" i="3"/>
  <c r="U22" i="3"/>
  <c r="U21" i="3"/>
  <c r="U20" i="3"/>
  <c r="U19" i="3"/>
  <c r="U18" i="3"/>
  <c r="U17" i="3"/>
  <c r="U16" i="3"/>
  <c r="U15" i="3"/>
  <c r="U13" i="3"/>
  <c r="S23" i="3"/>
  <c r="S22" i="3"/>
  <c r="S21" i="3"/>
  <c r="S20" i="3"/>
  <c r="S19" i="3"/>
  <c r="S18" i="3"/>
  <c r="S17" i="3"/>
  <c r="S16" i="3"/>
  <c r="S15" i="3"/>
  <c r="S14" i="3"/>
  <c r="S13" i="3"/>
  <c r="Q23" i="3"/>
  <c r="Q22" i="3"/>
  <c r="Q21" i="3"/>
  <c r="Q20" i="3"/>
  <c r="Q19" i="3"/>
  <c r="Q18" i="3"/>
  <c r="Q17" i="3"/>
  <c r="Q16" i="3"/>
  <c r="Q15" i="3"/>
  <c r="Q14" i="3"/>
  <c r="Q13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M23" i="3"/>
  <c r="M22" i="3"/>
  <c r="M21" i="3"/>
  <c r="M20" i="3"/>
  <c r="M19" i="3"/>
  <c r="M18" i="3"/>
  <c r="M17" i="3"/>
  <c r="M16" i="3"/>
  <c r="M15" i="3"/>
  <c r="M14" i="3"/>
  <c r="M13" i="3"/>
  <c r="K23" i="3"/>
  <c r="K22" i="3"/>
  <c r="K21" i="3"/>
  <c r="K20" i="3"/>
  <c r="K19" i="3"/>
  <c r="K18" i="3"/>
  <c r="K17" i="3"/>
  <c r="K16" i="3"/>
  <c r="K15" i="3"/>
  <c r="K14" i="3"/>
  <c r="K13" i="3"/>
  <c r="H23" i="3"/>
  <c r="G23" i="3"/>
  <c r="F23" i="3"/>
  <c r="I23" i="3"/>
  <c r="I22" i="3"/>
  <c r="I21" i="3"/>
  <c r="I20" i="3"/>
  <c r="I19" i="3"/>
  <c r="I18" i="3"/>
  <c r="I17" i="3"/>
  <c r="I16" i="3"/>
  <c r="I15" i="3"/>
  <c r="I14" i="3"/>
  <c r="I13" i="3"/>
  <c r="I12" i="3"/>
  <c r="H22" i="3"/>
  <c r="H21" i="3"/>
  <c r="H20" i="3"/>
  <c r="H19" i="3"/>
  <c r="H18" i="3"/>
  <c r="H17" i="3"/>
  <c r="H16" i="3"/>
  <c r="H15" i="3"/>
  <c r="H14" i="3"/>
  <c r="H13" i="3"/>
  <c r="G22" i="3"/>
  <c r="G21" i="3"/>
  <c r="G20" i="3"/>
  <c r="G19" i="3"/>
  <c r="G18" i="3"/>
  <c r="G17" i="3"/>
  <c r="G16" i="3"/>
  <c r="U12" i="3"/>
  <c r="W13" i="3"/>
  <c r="V22" i="3"/>
  <c r="V21" i="3"/>
  <c r="V20" i="3"/>
  <c r="V19" i="3"/>
  <c r="V18" i="3"/>
  <c r="V17" i="3"/>
  <c r="V16" i="3"/>
  <c r="T22" i="3"/>
  <c r="T21" i="3"/>
  <c r="T20" i="3"/>
  <c r="T19" i="3"/>
  <c r="T18" i="3"/>
  <c r="T17" i="3"/>
  <c r="T16" i="3"/>
  <c r="R22" i="3"/>
  <c r="R21" i="3"/>
  <c r="R20" i="3"/>
  <c r="R19" i="3"/>
  <c r="R18" i="3"/>
  <c r="R17" i="3"/>
  <c r="R16" i="3"/>
  <c r="P22" i="3"/>
  <c r="P21" i="3"/>
  <c r="P20" i="3"/>
  <c r="P19" i="3"/>
  <c r="P18" i="3"/>
  <c r="P17" i="3"/>
  <c r="P16" i="3"/>
  <c r="N22" i="3"/>
  <c r="N21" i="3"/>
  <c r="N20" i="3"/>
  <c r="N19" i="3"/>
  <c r="N18" i="3"/>
  <c r="N17" i="3"/>
  <c r="N16" i="3"/>
  <c r="L22" i="3"/>
  <c r="L21" i="3"/>
  <c r="L20" i="3"/>
  <c r="L19" i="3"/>
  <c r="L18" i="3"/>
  <c r="L17" i="3"/>
  <c r="L16" i="3"/>
  <c r="J22" i="3"/>
  <c r="J21" i="3"/>
  <c r="J20" i="3"/>
  <c r="J19" i="3"/>
  <c r="J18" i="3"/>
  <c r="J17" i="3"/>
  <c r="J16" i="3"/>
  <c r="F21" i="3"/>
  <c r="F20" i="3"/>
  <c r="F19" i="3"/>
  <c r="F18" i="3"/>
  <c r="F17" i="3"/>
  <c r="F16" i="3"/>
  <c r="C51" i="3"/>
  <c r="C50" i="3"/>
  <c r="C49" i="3"/>
  <c r="C48" i="3"/>
  <c r="C47" i="3"/>
  <c r="C46" i="3"/>
  <c r="B51" i="3"/>
  <c r="B50" i="3"/>
  <c r="B49" i="3"/>
  <c r="B48" i="3"/>
  <c r="B47" i="3"/>
  <c r="B22" i="3"/>
  <c r="B21" i="3"/>
  <c r="B20" i="3"/>
  <c r="B19" i="3"/>
  <c r="B18" i="3"/>
  <c r="B17" i="3"/>
  <c r="B16" i="3"/>
  <c r="C22" i="3"/>
  <c r="C21" i="3"/>
  <c r="C20" i="3"/>
  <c r="C19" i="3"/>
  <c r="C18" i="3"/>
  <c r="C17" i="3"/>
  <c r="C16" i="3"/>
  <c r="C47" i="2"/>
  <c r="B49" i="2"/>
  <c r="B48" i="2"/>
  <c r="B47" i="2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15" i="3"/>
  <c r="C14" i="3"/>
  <c r="C13" i="3"/>
  <c r="C12" i="3"/>
  <c r="C11" i="3"/>
  <c r="C10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6" i="3"/>
  <c r="B15" i="3"/>
  <c r="B14" i="3"/>
  <c r="B13" i="3"/>
  <c r="B12" i="3"/>
  <c r="B11" i="3"/>
  <c r="B10" i="3"/>
  <c r="C45" i="2"/>
  <c r="C43" i="2"/>
  <c r="C41" i="2"/>
  <c r="C38" i="2"/>
  <c r="C37" i="2"/>
  <c r="C36" i="2"/>
  <c r="C35" i="2"/>
  <c r="C34" i="2"/>
  <c r="C33" i="2"/>
  <c r="C32" i="2"/>
  <c r="C31" i="2"/>
  <c r="C30" i="2"/>
  <c r="C29" i="2"/>
  <c r="C14" i="2"/>
  <c r="C13" i="2"/>
  <c r="C12" i="2"/>
  <c r="C11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7" i="2"/>
  <c r="B14" i="2"/>
  <c r="B13" i="2"/>
  <c r="B12" i="2"/>
  <c r="B11" i="2"/>
  <c r="G5" i="2"/>
  <c r="AG5" i="2"/>
  <c r="AF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F5" i="2"/>
  <c r="AG54" i="3"/>
  <c r="AG52" i="3"/>
  <c r="AG51" i="3"/>
  <c r="AG50" i="3"/>
  <c r="AG46" i="3"/>
  <c r="AG45" i="3"/>
  <c r="AG44" i="3"/>
  <c r="AG43" i="3"/>
  <c r="AG42" i="3"/>
  <c r="AG41" i="3"/>
  <c r="AG40" i="3"/>
  <c r="AG39" i="3"/>
  <c r="AG38" i="3"/>
  <c r="AG37" i="3"/>
  <c r="AG36" i="3"/>
  <c r="AG34" i="3"/>
  <c r="AG33" i="3"/>
  <c r="AG32" i="3"/>
  <c r="AG31" i="3"/>
  <c r="AG30" i="3"/>
  <c r="AG29" i="3"/>
  <c r="AG28" i="3"/>
  <c r="AG27" i="3"/>
  <c r="AG26" i="3"/>
  <c r="AG25" i="3"/>
  <c r="AG11" i="3"/>
  <c r="AG10" i="3"/>
  <c r="AG9" i="3"/>
  <c r="AF54" i="3"/>
  <c r="AF52" i="3"/>
  <c r="AF51" i="3"/>
  <c r="AF50" i="3"/>
  <c r="AF46" i="3"/>
  <c r="AF45" i="3"/>
  <c r="AF44" i="3"/>
  <c r="AF43" i="3"/>
  <c r="AF42" i="3"/>
  <c r="AF41" i="3"/>
  <c r="AF40" i="3"/>
  <c r="AF39" i="3"/>
  <c r="AF38" i="3"/>
  <c r="AF37" i="3"/>
  <c r="AF36" i="3"/>
  <c r="AF34" i="3"/>
  <c r="AF33" i="3"/>
  <c r="AF32" i="3"/>
  <c r="AF31" i="3"/>
  <c r="AF30" i="3"/>
  <c r="AF29" i="3"/>
  <c r="AF28" i="3"/>
  <c r="AF27" i="3"/>
  <c r="AF26" i="3"/>
  <c r="AF25" i="3"/>
  <c r="AF15" i="3"/>
  <c r="AF14" i="3"/>
  <c r="AF13" i="3"/>
  <c r="AF12" i="3"/>
  <c r="AF11" i="3"/>
  <c r="AF10" i="3"/>
  <c r="AF9" i="3"/>
  <c r="AE54" i="3"/>
  <c r="AE45" i="3"/>
  <c r="AE44" i="3"/>
  <c r="AE43" i="3"/>
  <c r="AE42" i="3"/>
  <c r="AE41" i="3"/>
  <c r="AE40" i="3"/>
  <c r="AE39" i="3"/>
  <c r="AE38" i="3"/>
  <c r="AE37" i="3"/>
  <c r="AE36" i="3"/>
  <c r="AE34" i="3"/>
  <c r="AE33" i="3"/>
  <c r="AE32" i="3"/>
  <c r="AE31" i="3"/>
  <c r="AE30" i="3"/>
  <c r="AE29" i="3"/>
  <c r="AE28" i="3"/>
  <c r="AE27" i="3"/>
  <c r="AE26" i="3"/>
  <c r="AE25" i="3"/>
  <c r="AE12" i="3"/>
  <c r="AE11" i="3"/>
  <c r="AE10" i="3"/>
  <c r="AE9" i="3"/>
  <c r="AD54" i="3"/>
  <c r="AD45" i="3"/>
  <c r="AD44" i="3"/>
  <c r="AD43" i="3"/>
  <c r="AD42" i="3"/>
  <c r="AD41" i="3"/>
  <c r="AD40" i="3"/>
  <c r="AD39" i="3"/>
  <c r="AD38" i="3"/>
  <c r="AD37" i="3"/>
  <c r="AD36" i="3"/>
  <c r="AD34" i="3"/>
  <c r="AD33" i="3"/>
  <c r="AD32" i="3"/>
  <c r="AD31" i="3"/>
  <c r="AD30" i="3"/>
  <c r="AD29" i="3"/>
  <c r="AD28" i="3"/>
  <c r="AD27" i="3"/>
  <c r="AD26" i="3"/>
  <c r="AD25" i="3"/>
  <c r="AD15" i="3"/>
  <c r="AD14" i="3"/>
  <c r="AD13" i="3"/>
  <c r="AD12" i="3"/>
  <c r="AD11" i="3"/>
  <c r="AD10" i="3"/>
  <c r="AD9" i="3"/>
  <c r="AC54" i="3"/>
  <c r="AC45" i="3"/>
  <c r="AC44" i="3"/>
  <c r="AC43" i="3"/>
  <c r="AC42" i="3"/>
  <c r="AC41" i="3"/>
  <c r="AC40" i="3"/>
  <c r="AC39" i="3"/>
  <c r="AC38" i="3"/>
  <c r="AC37" i="3"/>
  <c r="AC36" i="3"/>
  <c r="AC34" i="3"/>
  <c r="AC33" i="3"/>
  <c r="AC32" i="3"/>
  <c r="AC31" i="3"/>
  <c r="AC30" i="3"/>
  <c r="AC29" i="3"/>
  <c r="AC28" i="3"/>
  <c r="AC27" i="3"/>
  <c r="AC26" i="3"/>
  <c r="AC25" i="3"/>
  <c r="AC13" i="3"/>
  <c r="AC12" i="3"/>
  <c r="AC11" i="3"/>
  <c r="AC10" i="3"/>
  <c r="AC9" i="3"/>
  <c r="AB54" i="3"/>
  <c r="AB45" i="3"/>
  <c r="AB44" i="3"/>
  <c r="AB43" i="3"/>
  <c r="AB42" i="3"/>
  <c r="AB41" i="3"/>
  <c r="AB40" i="3"/>
  <c r="AB39" i="3"/>
  <c r="AB38" i="3"/>
  <c r="AB37" i="3"/>
  <c r="AB36" i="3"/>
  <c r="AB34" i="3"/>
  <c r="AB33" i="3"/>
  <c r="AB32" i="3"/>
  <c r="AB31" i="3"/>
  <c r="AB30" i="3"/>
  <c r="AB29" i="3"/>
  <c r="AB28" i="3"/>
  <c r="AB27" i="3"/>
  <c r="AB26" i="3"/>
  <c r="AB25" i="3"/>
  <c r="AB15" i="3"/>
  <c r="AB14" i="3"/>
  <c r="AB13" i="3"/>
  <c r="AB12" i="3"/>
  <c r="AB11" i="3"/>
  <c r="AB10" i="3"/>
  <c r="AB9" i="3"/>
  <c r="AA54" i="3"/>
  <c r="AA45" i="3"/>
  <c r="AA44" i="3"/>
  <c r="AA43" i="3"/>
  <c r="AA41" i="3"/>
  <c r="AA40" i="3"/>
  <c r="AA39" i="3"/>
  <c r="AA38" i="3"/>
  <c r="AA37" i="3"/>
  <c r="AA36" i="3"/>
  <c r="AA35" i="3"/>
  <c r="AA34" i="3"/>
  <c r="AA33" i="3"/>
  <c r="AA32" i="3"/>
  <c r="AA31" i="3"/>
  <c r="AA30" i="3"/>
  <c r="AA29" i="3"/>
  <c r="AA28" i="3"/>
  <c r="AA27" i="3"/>
  <c r="AA26" i="3"/>
  <c r="AA25" i="3"/>
  <c r="AA12" i="3"/>
  <c r="AA11" i="3"/>
  <c r="AA10" i="3"/>
  <c r="AA9" i="3"/>
  <c r="Z54" i="3"/>
  <c r="Z45" i="3"/>
  <c r="Z44" i="3"/>
  <c r="Z43" i="3"/>
  <c r="Z42" i="3"/>
  <c r="Z41" i="3"/>
  <c r="Z40" i="3"/>
  <c r="Z39" i="3"/>
  <c r="Z38" i="3"/>
  <c r="Z37" i="3"/>
  <c r="Z36" i="3"/>
  <c r="Z34" i="3"/>
  <c r="Z33" i="3"/>
  <c r="Z32" i="3"/>
  <c r="Z31" i="3"/>
  <c r="Z30" i="3"/>
  <c r="Z29" i="3"/>
  <c r="Z28" i="3"/>
  <c r="Z27" i="3"/>
  <c r="Z26" i="3"/>
  <c r="Z25" i="3"/>
  <c r="Z15" i="3"/>
  <c r="Z14" i="3"/>
  <c r="Z13" i="3"/>
  <c r="Z12" i="3"/>
  <c r="Z11" i="3"/>
  <c r="Z10" i="3"/>
  <c r="Z9" i="3"/>
  <c r="AG8" i="3"/>
  <c r="AE8" i="3"/>
  <c r="AC8" i="3"/>
  <c r="AA8" i="3"/>
  <c r="AF8" i="3"/>
  <c r="AD8" i="3"/>
  <c r="AB8" i="3"/>
  <c r="Z8" i="3"/>
  <c r="AF4" i="3"/>
  <c r="AD4" i="3"/>
  <c r="AB4" i="3"/>
  <c r="Z4" i="3"/>
  <c r="X4" i="3"/>
  <c r="Y54" i="3"/>
  <c r="Y45" i="3"/>
  <c r="Y44" i="3"/>
  <c r="Y43" i="3"/>
  <c r="Y42" i="3"/>
  <c r="Y41" i="3"/>
  <c r="Y40" i="3"/>
  <c r="Y39" i="3"/>
  <c r="Y38" i="3"/>
  <c r="Y37" i="3"/>
  <c r="Y36" i="3"/>
  <c r="Y34" i="3"/>
  <c r="Y33" i="3"/>
  <c r="Y32" i="3"/>
  <c r="Y31" i="3"/>
  <c r="Y30" i="3"/>
  <c r="Y29" i="3"/>
  <c r="Y28" i="3"/>
  <c r="Y27" i="3"/>
  <c r="Y26" i="3"/>
  <c r="Y25" i="3"/>
  <c r="Y14" i="3"/>
  <c r="Y13" i="3"/>
  <c r="Y12" i="3"/>
  <c r="Y11" i="3"/>
  <c r="Y10" i="3"/>
  <c r="Y9" i="3"/>
  <c r="W54" i="3"/>
  <c r="W45" i="3"/>
  <c r="W44" i="3"/>
  <c r="W43" i="3"/>
  <c r="W42" i="3"/>
  <c r="W41" i="3"/>
  <c r="W40" i="3"/>
  <c r="W39" i="3"/>
  <c r="W38" i="3"/>
  <c r="W37" i="3"/>
  <c r="W36" i="3"/>
  <c r="W35" i="3"/>
  <c r="W34" i="3"/>
  <c r="W33" i="3"/>
  <c r="W32" i="3"/>
  <c r="W31" i="3"/>
  <c r="W30" i="3"/>
  <c r="W29" i="3"/>
  <c r="W28" i="3"/>
  <c r="W27" i="3"/>
  <c r="W26" i="3"/>
  <c r="W25" i="3"/>
  <c r="W12" i="3"/>
  <c r="W11" i="3"/>
  <c r="W10" i="3"/>
  <c r="W9" i="3"/>
  <c r="U54" i="3"/>
  <c r="U45" i="3"/>
  <c r="U44" i="3"/>
  <c r="U43" i="3"/>
  <c r="U42" i="3"/>
  <c r="U41" i="3"/>
  <c r="U40" i="3"/>
  <c r="U39" i="3"/>
  <c r="U38" i="3"/>
  <c r="U37" i="3"/>
  <c r="U36" i="3"/>
  <c r="U35" i="3"/>
  <c r="U34" i="3"/>
  <c r="U33" i="3"/>
  <c r="U32" i="3"/>
  <c r="U31" i="3"/>
  <c r="U30" i="3"/>
  <c r="U29" i="3"/>
  <c r="U28" i="3"/>
  <c r="U27" i="3"/>
  <c r="U26" i="3"/>
  <c r="U25" i="3"/>
  <c r="U11" i="3"/>
  <c r="U10" i="3"/>
  <c r="U9" i="3"/>
  <c r="S54" i="3"/>
  <c r="S45" i="3"/>
  <c r="S44" i="3"/>
  <c r="S43" i="3"/>
  <c r="S42" i="3"/>
  <c r="S41" i="3"/>
  <c r="S40" i="3"/>
  <c r="S39" i="3"/>
  <c r="S38" i="3"/>
  <c r="S37" i="3"/>
  <c r="S36" i="3"/>
  <c r="S35" i="3"/>
  <c r="S34" i="3"/>
  <c r="S33" i="3"/>
  <c r="S32" i="3"/>
  <c r="S31" i="3"/>
  <c r="S30" i="3"/>
  <c r="S29" i="3"/>
  <c r="S28" i="3"/>
  <c r="S27" i="3"/>
  <c r="S26" i="3"/>
  <c r="S25" i="3"/>
  <c r="S12" i="3"/>
  <c r="S11" i="3"/>
  <c r="S10" i="3"/>
  <c r="S9" i="3"/>
  <c r="Q54" i="3"/>
  <c r="Q45" i="3"/>
  <c r="Q44" i="3"/>
  <c r="Q43" i="3"/>
  <c r="Q42" i="3"/>
  <c r="Q41" i="3"/>
  <c r="Q40" i="3"/>
  <c r="Q39" i="3"/>
  <c r="Q38" i="3"/>
  <c r="Q37" i="3"/>
  <c r="Q36" i="3"/>
  <c r="Q34" i="3"/>
  <c r="Q33" i="3"/>
  <c r="Q32" i="3"/>
  <c r="Q31" i="3"/>
  <c r="Q30" i="3"/>
  <c r="Q29" i="3"/>
  <c r="Q28" i="3"/>
  <c r="Q27" i="3"/>
  <c r="Q26" i="3"/>
  <c r="Q25" i="3"/>
  <c r="Q12" i="3"/>
  <c r="Q11" i="3"/>
  <c r="Q10" i="3"/>
  <c r="Q9" i="3"/>
  <c r="O54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10" i="3"/>
  <c r="O9" i="3"/>
  <c r="M54" i="3"/>
  <c r="M45" i="3"/>
  <c r="M44" i="3"/>
  <c r="M43" i="3"/>
  <c r="M42" i="3"/>
  <c r="M41" i="3"/>
  <c r="M40" i="3"/>
  <c r="M39" i="3"/>
  <c r="M38" i="3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M12" i="3"/>
  <c r="M11" i="3"/>
  <c r="M10" i="3"/>
  <c r="M9" i="3"/>
  <c r="K54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12" i="3"/>
  <c r="K11" i="3"/>
  <c r="K10" i="3"/>
  <c r="K9" i="3"/>
  <c r="Y8" i="3"/>
  <c r="W8" i="3"/>
  <c r="U8" i="3"/>
  <c r="S8" i="3"/>
  <c r="Q8" i="3"/>
  <c r="O8" i="3"/>
  <c r="M8" i="3"/>
  <c r="K8" i="3"/>
  <c r="X54" i="3"/>
  <c r="X45" i="3"/>
  <c r="X44" i="3"/>
  <c r="X43" i="3"/>
  <c r="X42" i="3"/>
  <c r="X41" i="3"/>
  <c r="X40" i="3"/>
  <c r="X39" i="3"/>
  <c r="X38" i="3"/>
  <c r="X37" i="3"/>
  <c r="X36" i="3"/>
  <c r="X34" i="3"/>
  <c r="X33" i="3"/>
  <c r="X32" i="3"/>
  <c r="X31" i="3"/>
  <c r="X30" i="3"/>
  <c r="X29" i="3"/>
  <c r="X28" i="3"/>
  <c r="X27" i="3"/>
  <c r="X26" i="3"/>
  <c r="X25" i="3"/>
  <c r="X14" i="3"/>
  <c r="X13" i="3"/>
  <c r="X12" i="3"/>
  <c r="X11" i="3"/>
  <c r="X10" i="3"/>
  <c r="X9" i="3"/>
  <c r="V54" i="3"/>
  <c r="V45" i="3"/>
  <c r="V44" i="3"/>
  <c r="V43" i="3"/>
  <c r="V42" i="3"/>
  <c r="V41" i="3"/>
  <c r="V40" i="3"/>
  <c r="V39" i="3"/>
  <c r="V38" i="3"/>
  <c r="V37" i="3"/>
  <c r="V36" i="3"/>
  <c r="V35" i="3"/>
  <c r="V34" i="3"/>
  <c r="V33" i="3"/>
  <c r="V32" i="3"/>
  <c r="V31" i="3"/>
  <c r="V30" i="3"/>
  <c r="V29" i="3"/>
  <c r="V28" i="3"/>
  <c r="V27" i="3"/>
  <c r="V26" i="3"/>
  <c r="V25" i="3"/>
  <c r="V23" i="3"/>
  <c r="V15" i="3"/>
  <c r="V14" i="3"/>
  <c r="V13" i="3"/>
  <c r="V12" i="3"/>
  <c r="V11" i="3"/>
  <c r="V10" i="3"/>
  <c r="V9" i="3"/>
  <c r="T54" i="3"/>
  <c r="T44" i="3"/>
  <c r="T43" i="3"/>
  <c r="T42" i="3"/>
  <c r="T41" i="3"/>
  <c r="T40" i="3"/>
  <c r="T39" i="3"/>
  <c r="T38" i="3"/>
  <c r="T37" i="3"/>
  <c r="T36" i="3"/>
  <c r="T35" i="3"/>
  <c r="T34" i="3"/>
  <c r="T33" i="3"/>
  <c r="T32" i="3"/>
  <c r="T31" i="3"/>
  <c r="T30" i="3"/>
  <c r="T29" i="3"/>
  <c r="T28" i="3"/>
  <c r="T27" i="3"/>
  <c r="T26" i="3"/>
  <c r="T25" i="3"/>
  <c r="T23" i="3"/>
  <c r="T15" i="3"/>
  <c r="T14" i="3"/>
  <c r="T13" i="3"/>
  <c r="T12" i="3"/>
  <c r="T11" i="3"/>
  <c r="T10" i="3"/>
  <c r="T9" i="3"/>
  <c r="R54" i="3"/>
  <c r="R45" i="3"/>
  <c r="R44" i="3"/>
  <c r="R43" i="3"/>
  <c r="R42" i="3"/>
  <c r="R41" i="3"/>
  <c r="R40" i="3"/>
  <c r="R39" i="3"/>
  <c r="R38" i="3"/>
  <c r="R37" i="3"/>
  <c r="R36" i="3"/>
  <c r="R35" i="3"/>
  <c r="R34" i="3"/>
  <c r="R33" i="3"/>
  <c r="R32" i="3"/>
  <c r="R31" i="3"/>
  <c r="R30" i="3"/>
  <c r="R29" i="3"/>
  <c r="R28" i="3"/>
  <c r="R27" i="3"/>
  <c r="R26" i="3"/>
  <c r="R25" i="3"/>
  <c r="R23" i="3"/>
  <c r="R15" i="3"/>
  <c r="R14" i="3"/>
  <c r="R13" i="3"/>
  <c r="R12" i="3"/>
  <c r="R11" i="3"/>
  <c r="R10" i="3"/>
  <c r="R9" i="3"/>
  <c r="P54" i="3"/>
  <c r="P45" i="3"/>
  <c r="P44" i="3"/>
  <c r="P43" i="3"/>
  <c r="P42" i="3"/>
  <c r="P41" i="3"/>
  <c r="P40" i="3"/>
  <c r="P39" i="3"/>
  <c r="P38" i="3"/>
  <c r="P37" i="3"/>
  <c r="P36" i="3"/>
  <c r="P35" i="3"/>
  <c r="P34" i="3"/>
  <c r="P33" i="3"/>
  <c r="P32" i="3"/>
  <c r="P31" i="3"/>
  <c r="P30" i="3"/>
  <c r="P29" i="3"/>
  <c r="P28" i="3"/>
  <c r="P27" i="3"/>
  <c r="P26" i="3"/>
  <c r="P25" i="3"/>
  <c r="P23" i="3"/>
  <c r="P15" i="3"/>
  <c r="P14" i="3"/>
  <c r="P13" i="3"/>
  <c r="P12" i="3"/>
  <c r="P11" i="3"/>
  <c r="P10" i="3"/>
  <c r="P9" i="3"/>
  <c r="N54" i="3"/>
  <c r="N45" i="3"/>
  <c r="N44" i="3"/>
  <c r="N43" i="3"/>
  <c r="N42" i="3"/>
  <c r="N41" i="3"/>
  <c r="N40" i="3"/>
  <c r="N39" i="3"/>
  <c r="N38" i="3"/>
  <c r="N37" i="3"/>
  <c r="N36" i="3"/>
  <c r="N35" i="3"/>
  <c r="N34" i="3"/>
  <c r="N33" i="3"/>
  <c r="N32" i="3"/>
  <c r="N31" i="3"/>
  <c r="N30" i="3"/>
  <c r="N29" i="3"/>
  <c r="N28" i="3"/>
  <c r="N27" i="3"/>
  <c r="N26" i="3"/>
  <c r="N25" i="3"/>
  <c r="N23" i="3"/>
  <c r="N15" i="3"/>
  <c r="N14" i="3"/>
  <c r="N13" i="3"/>
  <c r="N12" i="3"/>
  <c r="N11" i="3"/>
  <c r="N10" i="3"/>
  <c r="N9" i="3"/>
  <c r="X8" i="3"/>
  <c r="V8" i="3"/>
  <c r="T8" i="3"/>
  <c r="R8" i="3"/>
  <c r="P8" i="3"/>
  <c r="N8" i="3"/>
  <c r="L54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3" i="3"/>
  <c r="L15" i="3"/>
  <c r="L14" i="3"/>
  <c r="L13" i="3"/>
  <c r="L12" i="3"/>
  <c r="L11" i="3"/>
  <c r="L10" i="3"/>
  <c r="L9" i="3"/>
  <c r="L8" i="3"/>
  <c r="J54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3" i="3"/>
  <c r="J15" i="3"/>
  <c r="J14" i="3"/>
  <c r="J13" i="3"/>
  <c r="J12" i="3"/>
  <c r="J11" i="3"/>
  <c r="J10" i="3"/>
  <c r="J9" i="3"/>
  <c r="J8" i="3"/>
  <c r="I9" i="3"/>
  <c r="F8" i="3"/>
  <c r="F9" i="3"/>
  <c r="G8" i="3"/>
  <c r="G9" i="3"/>
  <c r="H8" i="3"/>
  <c r="H9" i="3"/>
  <c r="I8" i="3"/>
  <c r="I10" i="3"/>
  <c r="G10" i="3"/>
  <c r="F10" i="3"/>
  <c r="H10" i="3"/>
  <c r="H35" i="3"/>
  <c r="F35" i="3"/>
  <c r="I54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11" i="3"/>
  <c r="H45" i="3"/>
  <c r="H44" i="3"/>
  <c r="H43" i="3"/>
  <c r="H42" i="3"/>
  <c r="H41" i="3"/>
  <c r="H40" i="3"/>
  <c r="H39" i="3"/>
  <c r="H38" i="3"/>
  <c r="H37" i="3"/>
  <c r="H36" i="3"/>
  <c r="H34" i="3"/>
  <c r="H33" i="3"/>
  <c r="H32" i="3"/>
  <c r="H31" i="3"/>
  <c r="H30" i="3"/>
  <c r="H29" i="3"/>
  <c r="H28" i="3"/>
  <c r="H27" i="3"/>
  <c r="H26" i="3"/>
  <c r="H12" i="3"/>
  <c r="H11" i="3"/>
  <c r="V4" i="3"/>
  <c r="T4" i="3"/>
  <c r="R4" i="3"/>
  <c r="P4" i="3"/>
  <c r="N4" i="3"/>
  <c r="L4" i="3"/>
  <c r="J4" i="3"/>
  <c r="H4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14" i="3"/>
  <c r="G13" i="3"/>
  <c r="G12" i="3"/>
  <c r="G11" i="3"/>
  <c r="F45" i="3"/>
  <c r="F44" i="3"/>
  <c r="F43" i="3"/>
  <c r="F42" i="3"/>
  <c r="F41" i="3"/>
  <c r="F40" i="3"/>
  <c r="F39" i="3"/>
  <c r="F38" i="3"/>
  <c r="F37" i="3"/>
  <c r="F36" i="3"/>
  <c r="F34" i="3"/>
  <c r="F33" i="3"/>
  <c r="F32" i="3"/>
  <c r="F31" i="3"/>
  <c r="F30" i="3"/>
  <c r="F29" i="3"/>
  <c r="F28" i="3"/>
  <c r="F27" i="3"/>
  <c r="F26" i="3"/>
  <c r="F22" i="3"/>
  <c r="F15" i="3"/>
  <c r="F14" i="3"/>
  <c r="F13" i="3"/>
  <c r="F12" i="3"/>
  <c r="F11" i="3"/>
  <c r="F4" i="3"/>
  <c r="E6" i="3"/>
  <c r="E62" i="1"/>
  <c r="E79" i="1"/>
  <c r="E7" i="2"/>
  <c r="E60" i="2"/>
  <c r="AG36" i="2"/>
  <c r="AG54" i="2" s="1"/>
  <c r="AG56" i="2" s="1"/>
  <c r="AF36" i="2"/>
  <c r="AF54" i="2"/>
  <c r="AF56" i="2" s="1"/>
  <c r="AE36" i="2"/>
  <c r="AE54" i="2"/>
  <c r="AC36" i="2"/>
  <c r="AC54" i="2" s="1"/>
  <c r="AB36" i="2"/>
  <c r="AB54" i="2" s="1"/>
  <c r="AA36" i="2"/>
  <c r="Z36" i="2"/>
  <c r="Z54" i="2" s="1"/>
  <c r="Y36" i="2"/>
  <c r="Y54" i="2" s="1"/>
  <c r="W53" i="3"/>
  <c r="U53" i="3"/>
  <c r="S53" i="3"/>
  <c r="O53" i="3"/>
  <c r="M53" i="3"/>
  <c r="K53" i="3"/>
  <c r="I53" i="3"/>
  <c r="G53" i="3"/>
  <c r="E36" i="2"/>
  <c r="AG25" i="2"/>
  <c r="AF25" i="2"/>
  <c r="AE25" i="2"/>
  <c r="AE56" i="2" s="1"/>
  <c r="AD25" i="2"/>
  <c r="AC25" i="2"/>
  <c r="AB25" i="2"/>
  <c r="AA25" i="2"/>
  <c r="Z25" i="2"/>
  <c r="Y25" i="2"/>
  <c r="X25" i="2"/>
  <c r="W25" i="2"/>
  <c r="U25" i="2"/>
  <c r="T25" i="2"/>
  <c r="R25" i="2"/>
  <c r="AE24" i="3" s="1"/>
  <c r="Q25" i="2"/>
  <c r="AC24" i="3"/>
  <c r="O25" i="2"/>
  <c r="Y24" i="3"/>
  <c r="N25" i="2"/>
  <c r="N56" i="2" s="1"/>
  <c r="M25" i="2"/>
  <c r="U24" i="3" s="1"/>
  <c r="L25" i="2"/>
  <c r="S24" i="3"/>
  <c r="K25" i="2"/>
  <c r="Q24" i="3"/>
  <c r="J25" i="2"/>
  <c r="O24" i="3"/>
  <c r="I25" i="2"/>
  <c r="I56" i="2" s="1"/>
  <c r="M55" i="3" s="1"/>
  <c r="H25" i="2"/>
  <c r="K24" i="3"/>
  <c r="G25" i="2"/>
  <c r="I24" i="3"/>
  <c r="F25" i="2"/>
  <c r="AG38" i="1"/>
  <c r="AG56" i="1"/>
  <c r="AG58" i="1" s="1"/>
  <c r="AF38" i="1"/>
  <c r="AF56" i="1"/>
  <c r="AF58" i="1" s="1"/>
  <c r="AE38" i="1"/>
  <c r="AE56" i="1"/>
  <c r="AE58" i="1" s="1"/>
  <c r="AD38" i="1"/>
  <c r="AD56" i="1" s="1"/>
  <c r="AD58" i="1" s="1"/>
  <c r="AC38" i="1"/>
  <c r="AC56" i="1" s="1"/>
  <c r="AB38" i="1"/>
  <c r="AB56" i="1" s="1"/>
  <c r="AA38" i="1"/>
  <c r="AA56" i="1" s="1"/>
  <c r="Z38" i="1"/>
  <c r="Z56" i="1" s="1"/>
  <c r="Y38" i="1"/>
  <c r="Y56" i="1" s="1"/>
  <c r="X38" i="1"/>
  <c r="X56" i="1" s="1"/>
  <c r="W38" i="1"/>
  <c r="W56" i="1" s="1"/>
  <c r="V38" i="1"/>
  <c r="V56" i="1" s="1"/>
  <c r="V58" i="1" s="1"/>
  <c r="U38" i="1"/>
  <c r="U56" i="1" s="1"/>
  <c r="U58" i="1" s="1"/>
  <c r="T38" i="1"/>
  <c r="T56" i="1"/>
  <c r="T58" i="1" s="1"/>
  <c r="S38" i="1"/>
  <c r="S56" i="1"/>
  <c r="AF53" i="3" s="1"/>
  <c r="R38" i="1"/>
  <c r="R56" i="1" s="1"/>
  <c r="AD53" i="3" s="1"/>
  <c r="V53" i="3"/>
  <c r="P53" i="3"/>
  <c r="J53" i="3"/>
  <c r="E38" i="1"/>
  <c r="O54" i="2"/>
  <c r="Y53" i="3" s="1"/>
  <c r="Y35" i="3"/>
  <c r="S54" i="2"/>
  <c r="AG53" i="3" s="1"/>
  <c r="AG35" i="3"/>
  <c r="R54" i="2"/>
  <c r="AE53" i="3" s="1"/>
  <c r="AE35" i="3"/>
  <c r="Q54" i="2"/>
  <c r="AC53" i="3" s="1"/>
  <c r="AC35" i="3"/>
  <c r="X35" i="3"/>
  <c r="AF35" i="3"/>
  <c r="Z53" i="3"/>
  <c r="Z35" i="3"/>
  <c r="AB53" i="3"/>
  <c r="AB35" i="3"/>
  <c r="G24" i="3"/>
  <c r="Q53" i="3"/>
  <c r="Q35" i="3"/>
  <c r="F56" i="2"/>
  <c r="J56" i="2"/>
  <c r="O55" i="3" s="1"/>
  <c r="F7" i="2"/>
  <c r="F60" i="2" s="1"/>
  <c r="H56" i="2"/>
  <c r="K55" i="3"/>
  <c r="L56" i="2"/>
  <c r="S55" i="3"/>
  <c r="AG78" i="1"/>
  <c r="AF78" i="1"/>
  <c r="AE78" i="1"/>
  <c r="AD78" i="1"/>
  <c r="AC78" i="1"/>
  <c r="AB78" i="1"/>
  <c r="AA78" i="1"/>
  <c r="Z78" i="1"/>
  <c r="Y78" i="1"/>
  <c r="X78" i="1"/>
  <c r="W78" i="1"/>
  <c r="V78" i="1"/>
  <c r="AG27" i="1"/>
  <c r="AF27" i="1"/>
  <c r="AE27" i="1"/>
  <c r="AD27" i="1"/>
  <c r="AC27" i="1"/>
  <c r="AB27" i="1"/>
  <c r="AA27" i="1"/>
  <c r="Z27" i="1"/>
  <c r="Y27" i="1"/>
  <c r="X27" i="1"/>
  <c r="W27" i="1"/>
  <c r="V27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F78" i="1"/>
  <c r="U27" i="1"/>
  <c r="T27" i="1"/>
  <c r="S27" i="1"/>
  <c r="R27" i="1"/>
  <c r="Q27" i="1"/>
  <c r="Q58" i="1" s="1"/>
  <c r="AB55" i="3" s="1"/>
  <c r="P27" i="1"/>
  <c r="O27" i="1"/>
  <c r="N27" i="1"/>
  <c r="M27" i="1"/>
  <c r="L27" i="1"/>
  <c r="K27" i="1"/>
  <c r="J27" i="1"/>
  <c r="I27" i="1"/>
  <c r="H27" i="1"/>
  <c r="J24" i="3" s="1"/>
  <c r="AF24" i="3"/>
  <c r="P58" i="1"/>
  <c r="Z55" i="3" s="1"/>
  <c r="Z24" i="3"/>
  <c r="AD24" i="3"/>
  <c r="I58" i="1"/>
  <c r="L55" i="3" s="1"/>
  <c r="L24" i="3"/>
  <c r="T24" i="3"/>
  <c r="F24" i="3"/>
  <c r="N24" i="3"/>
  <c r="N58" i="1"/>
  <c r="V55" i="3" s="1"/>
  <c r="V24" i="3"/>
  <c r="K58" i="1"/>
  <c r="P55" i="3" s="1"/>
  <c r="P24" i="3"/>
  <c r="X24" i="3"/>
  <c r="K56" i="2"/>
  <c r="Q55" i="3" s="1"/>
  <c r="R24" i="3"/>
  <c r="H24" i="3"/>
  <c r="F58" i="2"/>
  <c r="G58" i="3" s="1"/>
  <c r="G55" i="3"/>
  <c r="F9" i="1"/>
  <c r="F6" i="3" s="1"/>
  <c r="AA54" i="2" l="1"/>
  <c r="P54" i="2"/>
  <c r="S25" i="2"/>
  <c r="AG24" i="3" s="1"/>
  <c r="G58" i="2"/>
  <c r="I58" i="3" s="1"/>
  <c r="M24" i="3"/>
  <c r="AD56" i="2"/>
  <c r="AD54" i="2"/>
  <c r="N53" i="3"/>
  <c r="AB24" i="3"/>
  <c r="X58" i="1"/>
  <c r="Z58" i="1"/>
  <c r="AA58" i="1"/>
  <c r="AB58" i="1"/>
  <c r="Y58" i="1"/>
  <c r="AC58" i="1"/>
  <c r="W58" i="1"/>
  <c r="H58" i="1"/>
  <c r="J55" i="3" s="1"/>
  <c r="K56" i="3" s="1"/>
  <c r="AD35" i="3"/>
  <c r="F58" i="1"/>
  <c r="F60" i="1" s="1"/>
  <c r="F58" i="3" s="1"/>
  <c r="G59" i="3" s="1"/>
  <c r="F53" i="3"/>
  <c r="L58" i="1"/>
  <c r="R55" i="3" s="1"/>
  <c r="S56" i="3" s="1"/>
  <c r="R58" i="1"/>
  <c r="AD55" i="3" s="1"/>
  <c r="G58" i="1"/>
  <c r="H55" i="3" s="1"/>
  <c r="I56" i="3" s="1"/>
  <c r="S58" i="1"/>
  <c r="AF55" i="3" s="1"/>
  <c r="M58" i="1"/>
  <c r="T55" i="3" s="1"/>
  <c r="X53" i="3"/>
  <c r="O56" i="3"/>
  <c r="M56" i="3"/>
  <c r="Q56" i="3"/>
  <c r="AC56" i="2"/>
  <c r="AB56" i="2"/>
  <c r="H58" i="2"/>
  <c r="AA56" i="2"/>
  <c r="Z56" i="2"/>
  <c r="Y56" i="2"/>
  <c r="X54" i="2"/>
  <c r="X56" i="2" s="1"/>
  <c r="W56" i="2"/>
  <c r="V54" i="2"/>
  <c r="V56" i="2" s="1"/>
  <c r="U56" i="2"/>
  <c r="T54" i="2"/>
  <c r="T56" i="2" s="1"/>
  <c r="S56" i="2"/>
  <c r="AG55" i="3" s="1"/>
  <c r="R56" i="2"/>
  <c r="AE55" i="3" s="1"/>
  <c r="P56" i="2"/>
  <c r="AA55" i="3" s="1"/>
  <c r="AA56" i="3" s="1"/>
  <c r="AA53" i="3"/>
  <c r="Q56" i="2"/>
  <c r="AC55" i="3" s="1"/>
  <c r="AC56" i="3" s="1"/>
  <c r="O56" i="2"/>
  <c r="Y55" i="3" s="1"/>
  <c r="Y56" i="3" s="1"/>
  <c r="M56" i="2"/>
  <c r="W55" i="3"/>
  <c r="W56" i="3" s="1"/>
  <c r="G7" i="2"/>
  <c r="G61" i="3"/>
  <c r="G6" i="3"/>
  <c r="W24" i="3"/>
  <c r="F62" i="1" l="1"/>
  <c r="F61" i="3" s="1"/>
  <c r="F55" i="3"/>
  <c r="G56" i="3" s="1"/>
  <c r="AE56" i="3"/>
  <c r="AG56" i="3"/>
  <c r="G60" i="1"/>
  <c r="H60" i="1" s="1"/>
  <c r="I58" i="2"/>
  <c r="K58" i="3"/>
  <c r="U55" i="3"/>
  <c r="U56" i="3" s="1"/>
  <c r="G60" i="2"/>
  <c r="I6" i="3"/>
  <c r="F79" i="1" l="1"/>
  <c r="G9" i="1"/>
  <c r="G62" i="1" s="1"/>
  <c r="G79" i="1" s="1"/>
  <c r="H58" i="3"/>
  <c r="I59" i="3" s="1"/>
  <c r="I60" i="1"/>
  <c r="J58" i="3"/>
  <c r="K59" i="3" s="1"/>
  <c r="J58" i="2"/>
  <c r="M58" i="3"/>
  <c r="I61" i="3"/>
  <c r="H7" i="2"/>
  <c r="H9" i="1" l="1"/>
  <c r="H62" i="1" s="1"/>
  <c r="H61" i="3"/>
  <c r="H6" i="3"/>
  <c r="L58" i="3"/>
  <c r="M59" i="3" s="1"/>
  <c r="J60" i="1"/>
  <c r="J6" i="3"/>
  <c r="K58" i="2"/>
  <c r="O58" i="3"/>
  <c r="K6" i="3"/>
  <c r="H60" i="2"/>
  <c r="K60" i="1" l="1"/>
  <c r="N58" i="3"/>
  <c r="O59" i="3" s="1"/>
  <c r="J61" i="3"/>
  <c r="H79" i="1"/>
  <c r="I9" i="1"/>
  <c r="L58" i="2"/>
  <c r="Q58" i="3"/>
  <c r="I7" i="2"/>
  <c r="K61" i="3"/>
  <c r="P58" i="3" l="1"/>
  <c r="Q59" i="3" s="1"/>
  <c r="L60" i="1"/>
  <c r="I62" i="1"/>
  <c r="L6" i="3"/>
  <c r="S58" i="3"/>
  <c r="M58" i="2"/>
  <c r="I60" i="2"/>
  <c r="M6" i="3"/>
  <c r="M60" i="1" l="1"/>
  <c r="R58" i="3"/>
  <c r="S59" i="3" s="1"/>
  <c r="J9" i="1"/>
  <c r="I79" i="1"/>
  <c r="L61" i="3"/>
  <c r="U58" i="3"/>
  <c r="N58" i="2"/>
  <c r="J7" i="2"/>
  <c r="M61" i="3"/>
  <c r="N60" i="1" l="1"/>
  <c r="T58" i="3"/>
  <c r="U59" i="3" s="1"/>
  <c r="J62" i="1"/>
  <c r="N6" i="3"/>
  <c r="O58" i="2"/>
  <c r="W58" i="3"/>
  <c r="O6" i="3"/>
  <c r="J60" i="2"/>
  <c r="V58" i="3" l="1"/>
  <c r="W59" i="3" s="1"/>
  <c r="O60" i="1"/>
  <c r="N61" i="3"/>
  <c r="K9" i="1"/>
  <c r="J79" i="1"/>
  <c r="Y58" i="3"/>
  <c r="P58" i="2"/>
  <c r="O61" i="3"/>
  <c r="K7" i="2"/>
  <c r="P60" i="1" l="1"/>
  <c r="X58" i="3"/>
  <c r="Y59" i="3" s="1"/>
  <c r="P6" i="3"/>
  <c r="K62" i="1"/>
  <c r="AA58" i="3"/>
  <c r="Q58" i="2"/>
  <c r="Q6" i="3"/>
  <c r="K60" i="2"/>
  <c r="Z58" i="3" l="1"/>
  <c r="AA59" i="3" s="1"/>
  <c r="Q60" i="1"/>
  <c r="K79" i="1"/>
  <c r="L9" i="1"/>
  <c r="P61" i="3"/>
  <c r="AC58" i="3"/>
  <c r="R58" i="2"/>
  <c r="Q61" i="3"/>
  <c r="L7" i="2"/>
  <c r="R60" i="1" l="1"/>
  <c r="AB58" i="3"/>
  <c r="AC59" i="3" s="1"/>
  <c r="L62" i="1"/>
  <c r="R6" i="3"/>
  <c r="AE58" i="3"/>
  <c r="S58" i="2"/>
  <c r="L60" i="2"/>
  <c r="S6" i="3"/>
  <c r="AD58" i="3" l="1"/>
  <c r="AE59" i="3" s="1"/>
  <c r="S60" i="1"/>
  <c r="R61" i="3"/>
  <c r="M9" i="1"/>
  <c r="L79" i="1"/>
  <c r="AG58" i="3"/>
  <c r="T58" i="2"/>
  <c r="U58" i="2" s="1"/>
  <c r="V58" i="2" s="1"/>
  <c r="W58" i="2" s="1"/>
  <c r="X58" i="2" s="1"/>
  <c r="Y58" i="2" s="1"/>
  <c r="Z58" i="2" s="1"/>
  <c r="AA58" i="2" s="1"/>
  <c r="AB58" i="2" s="1"/>
  <c r="AC58" i="2" s="1"/>
  <c r="AD58" i="2" s="1"/>
  <c r="AE58" i="2" s="1"/>
  <c r="AF58" i="2" s="1"/>
  <c r="AG58" i="2" s="1"/>
  <c r="M7" i="2"/>
  <c r="S61" i="3"/>
  <c r="AF58" i="3" l="1"/>
  <c r="AG59" i="3" s="1"/>
  <c r="T60" i="1"/>
  <c r="U60" i="1" s="1"/>
  <c r="V60" i="1" s="1"/>
  <c r="W60" i="1" s="1"/>
  <c r="X60" i="1" s="1"/>
  <c r="Y60" i="1" s="1"/>
  <c r="Z60" i="1" s="1"/>
  <c r="AA60" i="1" s="1"/>
  <c r="AB60" i="1" s="1"/>
  <c r="AC60" i="1" s="1"/>
  <c r="AD60" i="1" s="1"/>
  <c r="AE60" i="1" s="1"/>
  <c r="AF60" i="1" s="1"/>
  <c r="AG60" i="1" s="1"/>
  <c r="T6" i="3"/>
  <c r="M62" i="1"/>
  <c r="U6" i="3"/>
  <c r="M60" i="2"/>
  <c r="T61" i="3" l="1"/>
  <c r="N9" i="1"/>
  <c r="M79" i="1"/>
  <c r="U61" i="3"/>
  <c r="N7" i="2"/>
  <c r="N62" i="1" l="1"/>
  <c r="V6" i="3"/>
  <c r="W6" i="3"/>
  <c r="N60" i="2"/>
  <c r="O9" i="1" l="1"/>
  <c r="V61" i="3"/>
  <c r="N79" i="1"/>
  <c r="W61" i="3"/>
  <c r="O7" i="2"/>
  <c r="O62" i="1" l="1"/>
  <c r="X6" i="3"/>
  <c r="O60" i="2"/>
  <c r="Y6" i="3"/>
  <c r="O79" i="1" l="1"/>
  <c r="X61" i="3"/>
  <c r="P9" i="1"/>
  <c r="Y61" i="3"/>
  <c r="P7" i="2"/>
  <c r="P62" i="1" l="1"/>
  <c r="Z6" i="3"/>
  <c r="AA6" i="3"/>
  <c r="P60" i="2"/>
  <c r="Z61" i="3" l="1"/>
  <c r="Q9" i="1"/>
  <c r="P79" i="1"/>
  <c r="AA61" i="3"/>
  <c r="Q7" i="2"/>
  <c r="AB6" i="3" l="1"/>
  <c r="Q62" i="1"/>
  <c r="Q60" i="2"/>
  <c r="AC6" i="3"/>
  <c r="AB61" i="3" l="1"/>
  <c r="R9" i="1"/>
  <c r="Q79" i="1"/>
  <c r="R7" i="2"/>
  <c r="AC61" i="3"/>
  <c r="R62" i="1" l="1"/>
  <c r="AD6" i="3"/>
  <c r="AE6" i="3"/>
  <c r="R60" i="2"/>
  <c r="S9" i="1" l="1"/>
  <c r="R79" i="1"/>
  <c r="AD61" i="3"/>
  <c r="AE61" i="3"/>
  <c r="S7" i="2"/>
  <c r="S62" i="1" l="1"/>
  <c r="AF6" i="3"/>
  <c r="S60" i="2"/>
  <c r="AG6" i="3"/>
  <c r="S79" i="1" l="1"/>
  <c r="AF61" i="3"/>
  <c r="T9" i="1"/>
  <c r="T62" i="1" s="1"/>
  <c r="T7" i="2"/>
  <c r="T60" i="2" s="1"/>
  <c r="AG61" i="3"/>
  <c r="T79" i="1" l="1"/>
  <c r="U9" i="1"/>
  <c r="U62" i="1" s="1"/>
  <c r="U7" i="2"/>
  <c r="U60" i="2" s="1"/>
  <c r="U79" i="1" l="1"/>
  <c r="V9" i="1"/>
  <c r="V62" i="1" s="1"/>
  <c r="V7" i="2"/>
  <c r="V60" i="2" s="1"/>
  <c r="W9" i="1" l="1"/>
  <c r="W62" i="1" s="1"/>
  <c r="V79" i="1"/>
  <c r="W7" i="2"/>
  <c r="W60" i="2" s="1"/>
  <c r="W79" i="1" l="1"/>
  <c r="X9" i="1"/>
  <c r="X62" i="1" s="1"/>
  <c r="X7" i="2"/>
  <c r="X60" i="2" s="1"/>
  <c r="Y9" i="1" l="1"/>
  <c r="Y62" i="1" s="1"/>
  <c r="X79" i="1"/>
  <c r="Y7" i="2"/>
  <c r="Y60" i="2" s="1"/>
  <c r="Z9" i="1" l="1"/>
  <c r="Z62" i="1" s="1"/>
  <c r="Y79" i="1"/>
  <c r="Z7" i="2"/>
  <c r="Z60" i="2" s="1"/>
  <c r="AA9" i="1" l="1"/>
  <c r="AA62" i="1" s="1"/>
  <c r="Z79" i="1"/>
  <c r="AA7" i="2"/>
  <c r="AA60" i="2" s="1"/>
  <c r="AB9" i="1" l="1"/>
  <c r="AB62" i="1" s="1"/>
  <c r="AA79" i="1"/>
  <c r="AB7" i="2"/>
  <c r="AB60" i="2" s="1"/>
  <c r="AC9" i="1" l="1"/>
  <c r="AC62" i="1" s="1"/>
  <c r="AB79" i="1"/>
  <c r="AC7" i="2"/>
  <c r="AC60" i="2" s="1"/>
  <c r="AC79" i="1" l="1"/>
  <c r="AD9" i="1"/>
  <c r="AD62" i="1" s="1"/>
  <c r="AD7" i="2"/>
  <c r="AD60" i="2" s="1"/>
  <c r="AE9" i="1" l="1"/>
  <c r="AE62" i="1" s="1"/>
  <c r="AD79" i="1"/>
  <c r="AE7" i="2"/>
  <c r="AE60" i="2" s="1"/>
  <c r="AE79" i="1" l="1"/>
  <c r="AF9" i="1"/>
  <c r="AF62" i="1" s="1"/>
  <c r="AF7" i="2"/>
  <c r="AF60" i="2" s="1"/>
  <c r="AG9" i="1" l="1"/>
  <c r="AG62" i="1" s="1"/>
  <c r="AF79" i="1"/>
  <c r="AG7" i="2"/>
  <c r="AG60" i="2" s="1"/>
  <c r="AG79" i="1" l="1"/>
</calcChain>
</file>

<file path=xl/sharedStrings.xml><?xml version="1.0" encoding="utf-8"?>
<sst xmlns="http://schemas.openxmlformats.org/spreadsheetml/2006/main" count="189" uniqueCount="110">
  <si>
    <t>Anfangsbestand</t>
  </si>
  <si>
    <t>Zahlungseingänge</t>
  </si>
  <si>
    <t>Materialkosten</t>
  </si>
  <si>
    <t>Hilfs/Betriebsstoffe</t>
  </si>
  <si>
    <t>Löhne</t>
  </si>
  <si>
    <t>Gehälter</t>
  </si>
  <si>
    <t>Sozialversicherung</t>
  </si>
  <si>
    <t>Lohnsteuer</t>
  </si>
  <si>
    <t>Löhne und Gehälter</t>
  </si>
  <si>
    <t>Summe Zahlungseingänge</t>
  </si>
  <si>
    <t>Umsatzsteuer</t>
  </si>
  <si>
    <t>Versicherungen</t>
  </si>
  <si>
    <t>Sonstige Dauerschuldverhältnisse</t>
  </si>
  <si>
    <t>Beratungskosten</t>
  </si>
  <si>
    <t>Summe Zahlungsausgänge</t>
  </si>
  <si>
    <t>Endbestand</t>
  </si>
  <si>
    <t>Obligo Planung</t>
  </si>
  <si>
    <t>Netto Endbestand</t>
  </si>
  <si>
    <t>Saldiertes Obligo</t>
  </si>
  <si>
    <t xml:space="preserve">Stichtag: </t>
  </si>
  <si>
    <t xml:space="preserve">Kundeneinzahlungen </t>
  </si>
  <si>
    <t>Factoring (Sicherungseinbehalt)</t>
  </si>
  <si>
    <t>Factoring</t>
  </si>
  <si>
    <t>1.</t>
  </si>
  <si>
    <t>1.1.</t>
  </si>
  <si>
    <t>1.2.</t>
  </si>
  <si>
    <t>1.3.</t>
  </si>
  <si>
    <t>Sonstige Eingänge</t>
  </si>
  <si>
    <t>2.1.</t>
  </si>
  <si>
    <t>2.2.</t>
  </si>
  <si>
    <t>2.</t>
  </si>
  <si>
    <t>Zahlungsausgänge</t>
  </si>
  <si>
    <t xml:space="preserve">Sonstiges </t>
  </si>
  <si>
    <t>2.3.</t>
  </si>
  <si>
    <t>2.4.</t>
  </si>
  <si>
    <t>Strom/Gas</t>
  </si>
  <si>
    <t>2.5.</t>
  </si>
  <si>
    <t>Zinsen/Gebühren (z.B. InsoGeld)</t>
  </si>
  <si>
    <t>2.6.</t>
  </si>
  <si>
    <t>2.8.</t>
  </si>
  <si>
    <t>2.9.</t>
  </si>
  <si>
    <t>2.10.</t>
  </si>
  <si>
    <t>2.11.</t>
  </si>
  <si>
    <t>2.12.</t>
  </si>
  <si>
    <t>2.14.</t>
  </si>
  <si>
    <t>2.13.</t>
  </si>
  <si>
    <t>2.7.</t>
  </si>
  <si>
    <t>3.</t>
  </si>
  <si>
    <t>4.</t>
  </si>
  <si>
    <t xml:space="preserve"> </t>
  </si>
  <si>
    <t>Materialeinsatz</t>
  </si>
  <si>
    <t>Wochendende</t>
  </si>
  <si>
    <t>INSOLVENZ-</t>
  </si>
  <si>
    <t>ANTRAG</t>
  </si>
  <si>
    <t>Gesamtsumme</t>
  </si>
  <si>
    <t>Über-/Unterdeckung (wöchentlich)</t>
  </si>
  <si>
    <t>5.</t>
  </si>
  <si>
    <t>Über-/Unterdeckung (kummuliert)</t>
  </si>
  <si>
    <t>Liquidität: PLAN</t>
  </si>
  <si>
    <t>6.</t>
  </si>
  <si>
    <t>7.</t>
  </si>
  <si>
    <t xml:space="preserve">Liquidität:  IST </t>
  </si>
  <si>
    <t>PLAN</t>
  </si>
  <si>
    <t>IST</t>
  </si>
  <si>
    <t xml:space="preserve">     Abweichung (+/-)</t>
  </si>
  <si>
    <t>Neukunden (Leistung ab Insolvenzantrag)</t>
  </si>
  <si>
    <t>Altkunden (Leistung vor Insolvenzantrag)</t>
  </si>
  <si>
    <t>PLAN / IST VERGLEICH</t>
  </si>
  <si>
    <t>1.4.</t>
  </si>
  <si>
    <t xml:space="preserve">Firma: </t>
  </si>
  <si>
    <t>Miete Geschäftsräume</t>
  </si>
  <si>
    <t>August</t>
  </si>
  <si>
    <t>September</t>
  </si>
  <si>
    <t>Oktober</t>
  </si>
  <si>
    <t>November</t>
  </si>
  <si>
    <t>Dezember</t>
  </si>
  <si>
    <t>Januar</t>
  </si>
  <si>
    <t>Februar</t>
  </si>
  <si>
    <t>März</t>
  </si>
  <si>
    <t>April</t>
  </si>
  <si>
    <t>Mai</t>
  </si>
  <si>
    <t>Juni</t>
  </si>
  <si>
    <t>Juli</t>
  </si>
  <si>
    <t>-</t>
  </si>
  <si>
    <t>1.5.</t>
  </si>
  <si>
    <t>Privatentnahme</t>
  </si>
  <si>
    <t>Erst. Ust</t>
  </si>
  <si>
    <t>1.6</t>
  </si>
  <si>
    <t>Sonstiger Betriebsbedarf</t>
  </si>
  <si>
    <t>Anzahlungen</t>
  </si>
  <si>
    <t>2.15.</t>
  </si>
  <si>
    <t xml:space="preserve">Albakour Einzahlungen </t>
  </si>
  <si>
    <t>Reisekosten</t>
  </si>
  <si>
    <t>Kraftstoff</t>
  </si>
  <si>
    <t>Erst. LSt</t>
  </si>
  <si>
    <t>1.7</t>
  </si>
  <si>
    <t xml:space="preserve">erhaltene Darlehen </t>
  </si>
  <si>
    <t>Rückzahlung Darlehen</t>
  </si>
  <si>
    <t>Kautonen</t>
  </si>
  <si>
    <t>Rückbuchungen</t>
  </si>
  <si>
    <t>2.16.</t>
  </si>
  <si>
    <t>Reparaturen Kfz</t>
  </si>
  <si>
    <t>Lease/Miete/Tilgung (Fuhrpark)</t>
  </si>
  <si>
    <t>2.17.</t>
  </si>
  <si>
    <t>Reklamationen</t>
  </si>
  <si>
    <t>2.18.</t>
  </si>
  <si>
    <t>Pfändungen</t>
  </si>
  <si>
    <t>Privatentnahmen</t>
  </si>
  <si>
    <t>Über-/Unterdeckung</t>
  </si>
  <si>
    <t xml:space="preserve">Über-/Unterdeckung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</si>
</sst>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&quot;-&quot;_);@_)"/>
    <numFmt numFmtId="165" formatCode="0%_);\(0%\)"/>
    <numFmt numFmtId="166" formatCode="[$-F800]dddd\,\ mmmm\ dd\,\ yyyy"/>
  </numFmts>
  <fonts count="29" x14ac:knownFonts="1">
    <font>
      <sz val="9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9"/>
      <color rgb="FF9C0006"/>
      <name val="Arial"/>
      <family val="2"/>
    </font>
    <font>
      <b/>
      <sz val="9"/>
      <color rgb="FFFA7D00"/>
      <name val="Arial"/>
      <family val="2"/>
    </font>
    <font>
      <b/>
      <sz val="9"/>
      <color theme="0"/>
      <name val="Arial"/>
      <family val="2"/>
      <scheme val="minor"/>
    </font>
    <font>
      <sz val="9"/>
      <color theme="1"/>
      <name val="Arial"/>
      <family val="2"/>
      <scheme val="minor"/>
    </font>
    <font>
      <i/>
      <sz val="9"/>
      <color rgb="FF7F7F7F"/>
      <name val="Arial"/>
      <family val="2"/>
      <scheme val="minor"/>
    </font>
    <font>
      <sz val="9"/>
      <color rgb="FF006100"/>
      <name val="Arial"/>
      <family val="2"/>
    </font>
    <font>
      <b/>
      <sz val="9"/>
      <color theme="3"/>
      <name val="Arial"/>
      <family val="2"/>
    </font>
    <font>
      <b/>
      <sz val="9"/>
      <color theme="3"/>
      <name val="Arial"/>
      <family val="2"/>
      <scheme val="major"/>
    </font>
    <font>
      <sz val="9"/>
      <color theme="3"/>
      <name val="Arial"/>
      <family val="2"/>
      <scheme val="major"/>
    </font>
    <font>
      <sz val="9"/>
      <color rgb="FF3F3F76"/>
      <name val="Arial"/>
      <family val="2"/>
      <scheme val="minor"/>
    </font>
    <font>
      <sz val="9"/>
      <color rgb="FFFA7D00"/>
      <name val="Arial"/>
      <family val="2"/>
      <scheme val="minor"/>
    </font>
    <font>
      <sz val="9"/>
      <color rgb="FF9C6500"/>
      <name val="Arial"/>
      <family val="2"/>
    </font>
    <font>
      <b/>
      <sz val="9"/>
      <color rgb="FF3F3F3F"/>
      <name val="Arial"/>
      <family val="2"/>
      <scheme val="minor"/>
    </font>
    <font>
      <b/>
      <sz val="9"/>
      <color theme="3"/>
      <name val="Arial"/>
      <family val="2"/>
      <scheme val="minor"/>
    </font>
    <font>
      <sz val="8"/>
      <color theme="1"/>
      <name val="Arial"/>
      <family val="2"/>
      <scheme val="minor"/>
    </font>
    <font>
      <b/>
      <sz val="9"/>
      <color theme="1"/>
      <name val="Arial"/>
      <family val="2"/>
      <scheme val="minor"/>
    </font>
    <font>
      <b/>
      <sz val="11"/>
      <color theme="3"/>
      <name val="Arial"/>
      <family val="2"/>
      <scheme val="minor"/>
    </font>
    <font>
      <b/>
      <sz val="11"/>
      <color theme="3"/>
      <name val="Arial"/>
      <family val="2"/>
      <scheme val="major"/>
    </font>
    <font>
      <b/>
      <sz val="9"/>
      <color theme="1"/>
      <name val="Arial"/>
      <family val="2"/>
      <scheme val="major"/>
    </font>
    <font>
      <sz val="9"/>
      <color rgb="FF0070C0"/>
      <name val="Arial"/>
      <family val="2"/>
      <scheme val="minor"/>
    </font>
    <font>
      <sz val="9"/>
      <color theme="3"/>
      <name val="Arial"/>
      <family val="2"/>
      <scheme val="minor"/>
    </font>
    <font>
      <i/>
      <sz val="9"/>
      <color theme="1"/>
      <name val="Arial"/>
      <family val="2"/>
      <scheme val="minor"/>
    </font>
    <font>
      <b/>
      <i/>
      <sz val="9"/>
      <color theme="1"/>
      <name val="Arial"/>
      <family val="2"/>
      <scheme val="minor"/>
    </font>
    <font>
      <b/>
      <u val="singleAccounting"/>
      <sz val="9"/>
      <color theme="1"/>
      <name val="Arial"/>
      <family val="2"/>
      <scheme val="minor"/>
    </font>
    <font>
      <sz val="8"/>
      <name val="Arial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rgb="FFFCD4B6"/>
        <bgColor indexed="64"/>
      </patternFill>
    </fill>
    <fill>
      <patternFill patternType="solid">
        <fgColor rgb="FFE8E6D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thin">
        <color theme="4"/>
      </bottom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/>
      </top>
      <bottom style="medium">
        <color theme="4"/>
      </bottom>
      <diagonal/>
    </border>
    <border>
      <left/>
      <right/>
      <top style="medium">
        <color theme="4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theme="4"/>
      </top>
      <bottom style="medium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theme="4"/>
      </top>
      <bottom style="medium">
        <color indexed="64"/>
      </bottom>
      <diagonal/>
    </border>
    <border>
      <left style="thin">
        <color indexed="64"/>
      </left>
      <right/>
      <top style="medium">
        <color theme="4"/>
      </top>
      <bottom style="medium">
        <color indexed="64"/>
      </bottom>
      <diagonal/>
    </border>
    <border>
      <left/>
      <right/>
      <top style="medium">
        <color theme="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theme="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theme="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theme="4"/>
      </top>
      <bottom style="medium">
        <color theme="4"/>
      </bottom>
      <diagonal/>
    </border>
    <border>
      <left style="thin">
        <color indexed="64"/>
      </left>
      <right style="thin">
        <color indexed="64"/>
      </right>
      <top style="medium">
        <color theme="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7">
    <xf numFmtId="164" fontId="0" fillId="0" borderId="0"/>
    <xf numFmtId="9" fontId="7" fillId="0" borderId="0" applyFont="0" applyFill="0" applyBorder="0" applyAlignment="0" applyProtection="0"/>
    <xf numFmtId="49" fontId="21" fillId="0" borderId="0" applyAlignment="0" applyProtection="0"/>
    <xf numFmtId="49" fontId="10" fillId="0" borderId="6" applyFill="0" applyProtection="0">
      <alignment horizontal="right" wrapText="1"/>
    </xf>
    <xf numFmtId="49" fontId="11" fillId="0" borderId="0" applyProtection="0">
      <alignment wrapText="1"/>
    </xf>
    <xf numFmtId="49" fontId="12" fillId="0" borderId="7" applyFill="0" applyProtection="0">
      <alignment horizontal="right" wrapText="1"/>
    </xf>
    <xf numFmtId="49" fontId="12" fillId="0" borderId="0" applyProtection="0">
      <alignment wrapText="1"/>
    </xf>
    <xf numFmtId="166" fontId="9" fillId="2" borderId="0" applyNumberFormat="0" applyBorder="0" applyAlignment="0" applyProtection="0"/>
    <xf numFmtId="166" fontId="4" fillId="3" borderId="0" applyNumberFormat="0" applyBorder="0" applyAlignment="0" applyProtection="0"/>
    <xf numFmtId="166" fontId="15" fillId="4" borderId="0" applyNumberFormat="0" applyBorder="0" applyAlignment="0" applyProtection="0"/>
    <xf numFmtId="166" fontId="13" fillId="5" borderId="1" applyNumberFormat="0" applyAlignment="0" applyProtection="0"/>
    <xf numFmtId="166" fontId="16" fillId="6" borderId="2" applyNumberFormat="0" applyAlignment="0" applyProtection="0"/>
    <xf numFmtId="166" fontId="5" fillId="6" borderId="1" applyNumberFormat="0" applyAlignment="0" applyProtection="0"/>
    <xf numFmtId="166" fontId="14" fillId="0" borderId="3" applyNumberFormat="0" applyFill="0" applyAlignment="0" applyProtection="0"/>
    <xf numFmtId="166" fontId="6" fillId="7" borderId="4" applyNumberFormat="0" applyAlignment="0" applyProtection="0"/>
    <xf numFmtId="166" fontId="7" fillId="8" borderId="5" applyNumberFormat="0" applyAlignment="0" applyProtection="0"/>
    <xf numFmtId="166" fontId="8" fillId="0" borderId="0" applyNumberFormat="0" applyFill="0" applyBorder="0" applyAlignment="0" applyProtection="0"/>
    <xf numFmtId="166" fontId="22" fillId="0" borderId="9" applyNumberFormat="0" applyFill="0" applyAlignment="0" applyProtection="0"/>
    <xf numFmtId="164" fontId="17" fillId="0" borderId="0" applyNumberFormat="0" applyFill="0" applyBorder="0" applyAlignment="0" applyProtection="0"/>
    <xf numFmtId="164" fontId="7" fillId="9" borderId="0" applyNumberFormat="0" applyFont="0" applyBorder="0" applyAlignment="0" applyProtection="0"/>
    <xf numFmtId="166" fontId="7" fillId="0" borderId="0" applyFill="0" applyBorder="0" applyProtection="0"/>
    <xf numFmtId="164" fontId="7" fillId="10" borderId="0" applyNumberFormat="0" applyFont="0" applyBorder="0" applyAlignment="0" applyProtection="0"/>
    <xf numFmtId="165" fontId="7" fillId="0" borderId="0" applyFill="0" applyBorder="0" applyAlignment="0" applyProtection="0"/>
    <xf numFmtId="166" fontId="18" fillId="0" borderId="0" applyNumberFormat="0" applyAlignment="0" applyProtection="0"/>
    <xf numFmtId="166" fontId="17" fillId="0" borderId="6" applyFill="0" applyProtection="0">
      <alignment horizontal="right" wrapText="1"/>
    </xf>
    <xf numFmtId="166" fontId="17" fillId="0" borderId="0" applyFill="0" applyProtection="0">
      <alignment wrapText="1"/>
    </xf>
    <xf numFmtId="164" fontId="19" fillId="0" borderId="8" applyNumberFormat="0" applyFill="0" applyAlignment="0" applyProtection="0"/>
    <xf numFmtId="166" fontId="20" fillId="0" borderId="0" applyAlignment="0" applyProtection="0"/>
    <xf numFmtId="166" fontId="19" fillId="0" borderId="9" applyNumberFormat="0" applyFill="0" applyAlignment="0" applyProtection="0"/>
    <xf numFmtId="166" fontId="17" fillId="0" borderId="10" applyFill="0" applyProtection="0">
      <alignment wrapText="1"/>
    </xf>
    <xf numFmtId="166" fontId="17" fillId="0" borderId="6" applyFill="0" applyProtection="0">
      <alignment horizontal="right" wrapText="1"/>
    </xf>
    <xf numFmtId="164" fontId="7" fillId="0" borderId="0"/>
    <xf numFmtId="166" fontId="3" fillId="0" borderId="0"/>
    <xf numFmtId="166" fontId="3" fillId="0" borderId="0"/>
    <xf numFmtId="166" fontId="20" fillId="0" borderId="0" applyAlignment="0" applyProtection="0"/>
    <xf numFmtId="166" fontId="2" fillId="0" borderId="0"/>
    <xf numFmtId="166" fontId="1" fillId="0" borderId="0"/>
  </cellStyleXfs>
  <cellXfs count="143">
    <xf numFmtId="164" fontId="0" fillId="0" borderId="0" xfId="0"/>
    <xf numFmtId="164" fontId="23" fillId="0" borderId="0" xfId="0" applyFont="1"/>
    <xf numFmtId="164" fontId="0" fillId="0" borderId="0" xfId="0" applyFill="1"/>
    <xf numFmtId="164" fontId="19" fillId="0" borderId="0" xfId="0" applyFont="1"/>
    <xf numFmtId="164" fontId="0" fillId="0" borderId="0" xfId="0" applyAlignment="1">
      <alignment horizontal="left" indent="1"/>
    </xf>
    <xf numFmtId="164" fontId="7" fillId="0" borderId="0" xfId="31"/>
    <xf numFmtId="164" fontId="7" fillId="0" borderId="0" xfId="31" applyFill="1"/>
    <xf numFmtId="164" fontId="0" fillId="0" borderId="0" xfId="0" applyBorder="1"/>
    <xf numFmtId="164" fontId="0" fillId="0" borderId="0" xfId="0" applyFill="1" applyAlignment="1">
      <alignment horizontal="left" indent="1"/>
    </xf>
    <xf numFmtId="164" fontId="0" fillId="0" borderId="11" xfId="0" applyBorder="1"/>
    <xf numFmtId="164" fontId="19" fillId="0" borderId="11" xfId="0" applyFont="1" applyBorder="1"/>
    <xf numFmtId="164" fontId="0" fillId="0" borderId="0" xfId="0" applyFont="1" applyFill="1"/>
    <xf numFmtId="164" fontId="19" fillId="0" borderId="9" xfId="28" applyNumberFormat="1" applyFill="1"/>
    <xf numFmtId="164" fontId="17" fillId="0" borderId="0" xfId="0" applyFont="1" applyAlignment="1">
      <alignment horizontal="left"/>
    </xf>
    <xf numFmtId="164" fontId="24" fillId="0" borderId="0" xfId="0" applyFont="1"/>
    <xf numFmtId="164" fontId="17" fillId="0" borderId="11" xfId="0" applyFont="1" applyBorder="1" applyAlignment="1">
      <alignment horizontal="left"/>
    </xf>
    <xf numFmtId="164" fontId="19" fillId="0" borderId="9" xfId="28" applyNumberFormat="1"/>
    <xf numFmtId="164" fontId="0" fillId="0" borderId="0" xfId="0" applyFont="1" applyFill="1" applyBorder="1"/>
    <xf numFmtId="164" fontId="0" fillId="0" borderId="0" xfId="31" applyFont="1"/>
    <xf numFmtId="164" fontId="18" fillId="0" borderId="0" xfId="0" applyFont="1"/>
    <xf numFmtId="164" fontId="18" fillId="0" borderId="0" xfId="0" applyFont="1" applyBorder="1"/>
    <xf numFmtId="164" fontId="25" fillId="0" borderId="0" xfId="0" applyFont="1"/>
    <xf numFmtId="164" fontId="19" fillId="11" borderId="9" xfId="28" applyNumberFormat="1" applyFill="1"/>
    <xf numFmtId="164" fontId="26" fillId="0" borderId="9" xfId="28" applyNumberFormat="1" applyFont="1"/>
    <xf numFmtId="164" fontId="26" fillId="0" borderId="9" xfId="28" applyNumberFormat="1" applyFont="1" applyFill="1"/>
    <xf numFmtId="164" fontId="0" fillId="0" borderId="0" xfId="31" applyFont="1" applyFill="1"/>
    <xf numFmtId="164" fontId="19" fillId="11" borderId="0" xfId="0" applyFont="1" applyFill="1" applyBorder="1"/>
    <xf numFmtId="164" fontId="0" fillId="11" borderId="0" xfId="0" applyFill="1"/>
    <xf numFmtId="0" fontId="17" fillId="12" borderId="0" xfId="30" applyNumberFormat="1" applyFont="1" applyFill="1" applyBorder="1">
      <alignment horizontal="right" wrapText="1"/>
    </xf>
    <xf numFmtId="164" fontId="0" fillId="12" borderId="0" xfId="0" applyFill="1"/>
    <xf numFmtId="164" fontId="19" fillId="0" borderId="0" xfId="0" applyFont="1" applyFill="1" applyAlignment="1">
      <alignment horizontal="right"/>
    </xf>
    <xf numFmtId="164" fontId="0" fillId="0" borderId="0" xfId="0" applyAlignment="1">
      <alignment horizontal="right"/>
    </xf>
    <xf numFmtId="164" fontId="19" fillId="12" borderId="0" xfId="0" applyFont="1" applyFill="1" applyAlignment="1">
      <alignment horizontal="center"/>
    </xf>
    <xf numFmtId="164" fontId="19" fillId="12" borderId="11" xfId="0" applyFont="1" applyFill="1" applyBorder="1"/>
    <xf numFmtId="164" fontId="19" fillId="0" borderId="12" xfId="0" applyFont="1" applyFill="1" applyBorder="1" applyAlignment="1">
      <alignment horizontal="right"/>
    </xf>
    <xf numFmtId="0" fontId="17" fillId="12" borderId="12" xfId="30" applyNumberFormat="1" applyFont="1" applyFill="1" applyBorder="1">
      <alignment horizontal="right" wrapText="1"/>
    </xf>
    <xf numFmtId="164" fontId="0" fillId="0" borderId="12" xfId="0" applyBorder="1"/>
    <xf numFmtId="164" fontId="19" fillId="0" borderId="13" xfId="0" applyFont="1" applyBorder="1"/>
    <xf numFmtId="164" fontId="0" fillId="0" borderId="12" xfId="0" applyFill="1" applyBorder="1"/>
    <xf numFmtId="164" fontId="26" fillId="0" borderId="14" xfId="28" applyNumberFormat="1" applyFont="1" applyFill="1" applyBorder="1"/>
    <xf numFmtId="164" fontId="25" fillId="0" borderId="12" xfId="0" applyFont="1" applyBorder="1"/>
    <xf numFmtId="164" fontId="19" fillId="0" borderId="14" xfId="28" applyNumberFormat="1" applyFill="1" applyBorder="1"/>
    <xf numFmtId="164" fontId="19" fillId="11" borderId="14" xfId="28" applyNumberFormat="1" applyFill="1" applyBorder="1"/>
    <xf numFmtId="164" fontId="25" fillId="12" borderId="0" xfId="0" applyFont="1" applyFill="1" applyAlignment="1">
      <alignment horizontal="left" indent="1"/>
    </xf>
    <xf numFmtId="164" fontId="25" fillId="12" borderId="0" xfId="0" applyFont="1" applyFill="1"/>
    <xf numFmtId="164" fontId="25" fillId="12" borderId="12" xfId="0" applyFont="1" applyFill="1" applyBorder="1"/>
    <xf numFmtId="164" fontId="25" fillId="12" borderId="0" xfId="0" applyFont="1" applyFill="1" applyBorder="1"/>
    <xf numFmtId="164" fontId="0" fillId="13" borderId="0" xfId="0" applyFill="1"/>
    <xf numFmtId="164" fontId="27" fillId="13" borderId="0" xfId="0" applyFont="1" applyFill="1"/>
    <xf numFmtId="164" fontId="18" fillId="0" borderId="0" xfId="0" applyFont="1" applyFill="1"/>
    <xf numFmtId="164" fontId="18" fillId="0" borderId="0" xfId="0" applyFont="1" applyFill="1" applyBorder="1"/>
    <xf numFmtId="164" fontId="19" fillId="11" borderId="16" xfId="28" applyNumberFormat="1" applyFill="1" applyBorder="1"/>
    <xf numFmtId="164" fontId="19" fillId="11" borderId="15" xfId="28" applyNumberFormat="1" applyFill="1" applyBorder="1"/>
    <xf numFmtId="164" fontId="19" fillId="0" borderId="17" xfId="28" applyNumberFormat="1" applyFill="1" applyBorder="1"/>
    <xf numFmtId="164" fontId="19" fillId="11" borderId="6" xfId="28" applyNumberFormat="1" applyFill="1" applyBorder="1"/>
    <xf numFmtId="164" fontId="19" fillId="11" borderId="19" xfId="28" applyNumberFormat="1" applyFill="1" applyBorder="1"/>
    <xf numFmtId="164" fontId="19" fillId="0" borderId="18" xfId="28" applyNumberFormat="1" applyBorder="1"/>
    <xf numFmtId="164" fontId="19" fillId="0" borderId="18" xfId="28" applyNumberFormat="1" applyFill="1" applyBorder="1"/>
    <xf numFmtId="164" fontId="0" fillId="0" borderId="18" xfId="0" applyBorder="1"/>
    <xf numFmtId="164" fontId="17" fillId="0" borderId="20" xfId="0" applyFont="1" applyFill="1" applyBorder="1"/>
    <xf numFmtId="164" fontId="0" fillId="0" borderId="20" xfId="0" applyFont="1" applyBorder="1"/>
    <xf numFmtId="164" fontId="19" fillId="11" borderId="21" xfId="28" applyNumberFormat="1" applyFill="1" applyBorder="1"/>
    <xf numFmtId="164" fontId="19" fillId="0" borderId="0" xfId="0" applyFont="1" applyFill="1" applyBorder="1" applyAlignment="1">
      <alignment horizontal="right"/>
    </xf>
    <xf numFmtId="164" fontId="0" fillId="0" borderId="0" xfId="0" applyFill="1" applyBorder="1"/>
    <xf numFmtId="164" fontId="26" fillId="0" borderId="9" xfId="28" applyNumberFormat="1" applyFont="1" applyFill="1" applyBorder="1"/>
    <xf numFmtId="164" fontId="0" fillId="0" borderId="12" xfId="0" applyFont="1" applyBorder="1" applyAlignment="1">
      <alignment horizontal="center"/>
    </xf>
    <xf numFmtId="164" fontId="0" fillId="0" borderId="0" xfId="0" applyFont="1" applyBorder="1" applyAlignment="1">
      <alignment horizontal="center"/>
    </xf>
    <xf numFmtId="164" fontId="19" fillId="13" borderId="0" xfId="0" applyFont="1" applyFill="1"/>
    <xf numFmtId="164" fontId="0" fillId="0" borderId="17" xfId="0" applyBorder="1"/>
    <xf numFmtId="164" fontId="0" fillId="0" borderId="15" xfId="0" applyBorder="1"/>
    <xf numFmtId="164" fontId="0" fillId="0" borderId="22" xfId="0" applyBorder="1"/>
    <xf numFmtId="164" fontId="26" fillId="0" borderId="14" xfId="28" applyNumberFormat="1" applyFont="1" applyBorder="1"/>
    <xf numFmtId="164" fontId="0" fillId="12" borderId="12" xfId="0" applyFill="1" applyBorder="1"/>
    <xf numFmtId="164" fontId="19" fillId="12" borderId="12" xfId="0" applyFont="1" applyFill="1" applyBorder="1" applyAlignment="1">
      <alignment horizontal="right"/>
    </xf>
    <xf numFmtId="164" fontId="19" fillId="12" borderId="0" xfId="0" applyFont="1" applyFill="1" applyAlignment="1">
      <alignment horizontal="right"/>
    </xf>
    <xf numFmtId="164" fontId="19" fillId="12" borderId="0" xfId="0" applyFont="1" applyFill="1" applyBorder="1" applyAlignment="1">
      <alignment horizontal="right"/>
    </xf>
    <xf numFmtId="164" fontId="7" fillId="0" borderId="0" xfId="31" applyAlignment="1">
      <alignment horizontal="left" indent="1"/>
    </xf>
    <xf numFmtId="164" fontId="19" fillId="12" borderId="6" xfId="28" applyNumberFormat="1" applyFill="1" applyBorder="1"/>
    <xf numFmtId="164" fontId="19" fillId="12" borderId="12" xfId="28" applyNumberFormat="1" applyFill="1" applyBorder="1"/>
    <xf numFmtId="164" fontId="19" fillId="12" borderId="0" xfId="28" applyNumberFormat="1" applyFill="1" applyBorder="1"/>
    <xf numFmtId="164" fontId="19" fillId="12" borderId="19" xfId="28" applyNumberFormat="1" applyFill="1" applyBorder="1"/>
    <xf numFmtId="164" fontId="19" fillId="12" borderId="15" xfId="28" applyNumberFormat="1" applyFill="1" applyBorder="1"/>
    <xf numFmtId="164" fontId="19" fillId="12" borderId="22" xfId="28" applyNumberFormat="1" applyFill="1" applyBorder="1"/>
    <xf numFmtId="164" fontId="19" fillId="12" borderId="23" xfId="28" applyNumberFormat="1" applyFill="1" applyBorder="1"/>
    <xf numFmtId="14" fontId="0" fillId="0" borderId="0" xfId="0" applyNumberFormat="1"/>
    <xf numFmtId="164" fontId="19" fillId="12" borderId="26" xfId="0" applyFont="1" applyFill="1" applyBorder="1" applyAlignment="1">
      <alignment horizontal="center"/>
    </xf>
    <xf numFmtId="164" fontId="0" fillId="0" borderId="26" xfId="0" applyBorder="1"/>
    <xf numFmtId="164" fontId="19" fillId="12" borderId="27" xfId="0" applyFont="1" applyFill="1" applyBorder="1"/>
    <xf numFmtId="164" fontId="0" fillId="0" borderId="26" xfId="0" applyFill="1" applyBorder="1"/>
    <xf numFmtId="164" fontId="26" fillId="0" borderId="28" xfId="28" applyNumberFormat="1" applyFont="1" applyFill="1" applyBorder="1"/>
    <xf numFmtId="164" fontId="25" fillId="0" borderId="26" xfId="0" applyFont="1" applyBorder="1"/>
    <xf numFmtId="164" fontId="25" fillId="12" borderId="26" xfId="0" applyFont="1" applyFill="1" applyBorder="1"/>
    <xf numFmtId="164" fontId="19" fillId="0" borderId="29" xfId="28" applyNumberFormat="1" applyFill="1" applyBorder="1"/>
    <xf numFmtId="164" fontId="19" fillId="11" borderId="25" xfId="28" applyNumberFormat="1" applyFill="1" applyBorder="1"/>
    <xf numFmtId="164" fontId="19" fillId="12" borderId="25" xfId="28" applyNumberFormat="1" applyFill="1" applyBorder="1"/>
    <xf numFmtId="164" fontId="19" fillId="0" borderId="28" xfId="28" applyNumberFormat="1" applyFill="1" applyBorder="1"/>
    <xf numFmtId="164" fontId="19" fillId="11" borderId="30" xfId="28" applyNumberFormat="1" applyFill="1" applyBorder="1"/>
    <xf numFmtId="164" fontId="19" fillId="12" borderId="31" xfId="28" applyNumberFormat="1" applyFill="1" applyBorder="1"/>
    <xf numFmtId="164" fontId="0" fillId="0" borderId="31" xfId="0" applyBorder="1"/>
    <xf numFmtId="164" fontId="19" fillId="13" borderId="15" xfId="0" applyFont="1" applyFill="1" applyBorder="1"/>
    <xf numFmtId="14" fontId="17" fillId="12" borderId="0" xfId="30" applyNumberFormat="1" applyFont="1" applyFill="1" applyBorder="1">
      <alignment horizontal="right" wrapText="1"/>
    </xf>
    <xf numFmtId="164" fontId="19" fillId="12" borderId="24" xfId="0" applyFont="1" applyFill="1" applyBorder="1" applyAlignment="1">
      <alignment horizontal="center"/>
    </xf>
    <xf numFmtId="2" fontId="0" fillId="0" borderId="12" xfId="0" applyNumberFormat="1" applyFill="1" applyBorder="1"/>
    <xf numFmtId="2" fontId="0" fillId="0" borderId="0" xfId="0" applyNumberFormat="1"/>
    <xf numFmtId="2" fontId="0" fillId="0" borderId="12" xfId="0" applyNumberFormat="1" applyBorder="1"/>
    <xf numFmtId="2" fontId="25" fillId="12" borderId="0" xfId="0" applyNumberFormat="1" applyFont="1" applyFill="1" applyBorder="1"/>
    <xf numFmtId="2" fontId="0" fillId="0" borderId="0" xfId="0" applyNumberFormat="1" applyFill="1"/>
    <xf numFmtId="2" fontId="26" fillId="0" borderId="9" xfId="28" applyNumberFormat="1" applyFont="1" applyFill="1"/>
    <xf numFmtId="2" fontId="19" fillId="0" borderId="18" xfId="28" applyNumberFormat="1" applyBorder="1"/>
    <xf numFmtId="2" fontId="0" fillId="0" borderId="18" xfId="0" applyNumberFormat="1" applyBorder="1"/>
    <xf numFmtId="2" fontId="19" fillId="11" borderId="6" xfId="28" applyNumberFormat="1" applyFill="1" applyBorder="1"/>
    <xf numFmtId="2" fontId="19" fillId="0" borderId="9" xfId="28" applyNumberFormat="1" applyFill="1"/>
    <xf numFmtId="2" fontId="19" fillId="11" borderId="9" xfId="28" applyNumberFormat="1" applyFill="1"/>
    <xf numFmtId="2" fontId="26" fillId="0" borderId="14" xfId="28" applyNumberFormat="1" applyFont="1" applyFill="1" applyBorder="1"/>
    <xf numFmtId="2" fontId="19" fillId="0" borderId="14" xfId="28" applyNumberFormat="1" applyFill="1" applyBorder="1"/>
    <xf numFmtId="2" fontId="19" fillId="0" borderId="9" xfId="28" applyNumberFormat="1"/>
    <xf numFmtId="2" fontId="19" fillId="11" borderId="14" xfId="28" applyNumberFormat="1" applyFill="1" applyBorder="1"/>
    <xf numFmtId="2" fontId="19" fillId="0" borderId="17" xfId="28" applyNumberFormat="1" applyFill="1" applyBorder="1"/>
    <xf numFmtId="2" fontId="19" fillId="11" borderId="21" xfId="28" applyNumberFormat="1" applyFill="1" applyBorder="1"/>
    <xf numFmtId="3" fontId="0" fillId="0" borderId="12" xfId="0" applyNumberFormat="1" applyBorder="1"/>
    <xf numFmtId="3" fontId="26" fillId="0" borderId="9" xfId="28" applyNumberFormat="1" applyFont="1" applyFill="1"/>
    <xf numFmtId="3" fontId="0" fillId="0" borderId="0" xfId="0" applyNumberFormat="1"/>
    <xf numFmtId="3" fontId="0" fillId="0" borderId="0" xfId="0" applyNumberFormat="1" applyFill="1"/>
    <xf numFmtId="3" fontId="25" fillId="0" borderId="0" xfId="0" applyNumberFormat="1" applyFont="1"/>
    <xf numFmtId="3" fontId="0" fillId="0" borderId="0" xfId="0" applyNumberFormat="1" applyFill="1" applyBorder="1"/>
    <xf numFmtId="3" fontId="0" fillId="0" borderId="12" xfId="0" applyNumberFormat="1" applyFill="1" applyBorder="1"/>
    <xf numFmtId="3" fontId="25" fillId="12" borderId="0" xfId="0" applyNumberFormat="1" applyFont="1" applyFill="1" applyBorder="1"/>
    <xf numFmtId="3" fontId="19" fillId="0" borderId="18" xfId="28" applyNumberFormat="1" applyBorder="1"/>
    <xf numFmtId="3" fontId="0" fillId="0" borderId="18" xfId="0" applyNumberFormat="1" applyBorder="1"/>
    <xf numFmtId="3" fontId="19" fillId="11" borderId="6" xfId="28" applyNumberFormat="1" applyFill="1" applyBorder="1"/>
    <xf numFmtId="3" fontId="19" fillId="0" borderId="9" xfId="28" applyNumberFormat="1" applyFill="1"/>
    <xf numFmtId="3" fontId="19" fillId="11" borderId="9" xfId="28" applyNumberFormat="1" applyFill="1"/>
    <xf numFmtId="49" fontId="18" fillId="0" borderId="0" xfId="0" applyNumberFormat="1" applyFont="1" applyFill="1" applyAlignment="1">
      <alignment horizontal="left"/>
    </xf>
    <xf numFmtId="3" fontId="0" fillId="14" borderId="0" xfId="0" applyNumberFormat="1" applyFill="1"/>
    <xf numFmtId="3" fontId="0" fillId="0" borderId="0" xfId="0" applyNumberFormat="1" applyFont="1" applyFill="1"/>
    <xf numFmtId="3" fontId="25" fillId="0" borderId="0" xfId="0" applyNumberFormat="1" applyFont="1" applyFill="1"/>
    <xf numFmtId="3" fontId="25" fillId="0" borderId="0" xfId="0" applyNumberFormat="1" applyFont="1" applyFill="1" applyBorder="1"/>
    <xf numFmtId="1" fontId="0" fillId="0" borderId="32" xfId="0" applyNumberFormat="1" applyBorder="1" applyAlignment="1">
      <alignment horizontal="center"/>
    </xf>
    <xf numFmtId="1" fontId="0" fillId="0" borderId="12" xfId="0" applyNumberFormat="1" applyBorder="1" applyAlignment="1"/>
    <xf numFmtId="1" fontId="0" fillId="0" borderId="0" xfId="0" applyNumberFormat="1" applyAlignment="1"/>
    <xf numFmtId="3" fontId="0" fillId="0" borderId="32" xfId="0" applyNumberFormat="1" applyBorder="1" applyAlignment="1">
      <alignment horizontal="center"/>
    </xf>
    <xf numFmtId="0" fontId="17" fillId="12" borderId="12" xfId="30" applyNumberFormat="1" applyFont="1" applyFill="1" applyBorder="1" applyAlignment="1">
      <alignment horizontal="center" wrapText="1"/>
    </xf>
    <xf numFmtId="0" fontId="17" fillId="12" borderId="24" xfId="30" applyNumberFormat="1" applyFont="1" applyFill="1" applyBorder="1" applyAlignment="1">
      <alignment horizontal="center" wrapText="1"/>
    </xf>
  </cellXfs>
  <cellStyles count="37">
    <cellStyle name="Ausgabe" xfId="11" builtinId="21" customBuiltin="1"/>
    <cellStyle name="Berechnung" xfId="12" builtinId="22" customBuiltin="1"/>
    <cellStyle name="Eingabe" xfId="10" builtinId="20" customBuiltin="1"/>
    <cellStyle name="Ergebnis" xfId="17" builtinId="25" customBuiltin="1"/>
    <cellStyle name="Erklärender Text" xfId="16" builtinId="53" customBuiltin="1"/>
    <cellStyle name="Gut" xfId="7" builtinId="26" customBuiltin="1"/>
    <cellStyle name="Neutral" xfId="9" builtinId="28" customBuiltin="1"/>
    <cellStyle name="Normal 2" xfId="33" xr:uid="{00000000-0005-0000-0000-000007000000}"/>
    <cellStyle name="Normal 2 2" xfId="36" xr:uid="{00000000-0005-0000-0000-000008000000}"/>
    <cellStyle name="Normal 3" xfId="32" xr:uid="{00000000-0005-0000-0000-000009000000}"/>
    <cellStyle name="Normal 4" xfId="35" xr:uid="{00000000-0005-0000-0000-00000A000000}"/>
    <cellStyle name="Notiz" xfId="15" builtinId="10" customBuiltin="1"/>
    <cellStyle name="Prozent" xfId="1" builtinId="5" customBuiltin="1"/>
    <cellStyle name="Schlecht" xfId="8" builtinId="27" customBuiltin="1"/>
    <cellStyle name="Smart Bold" xfId="18" xr:uid="{00000000-0005-0000-0000-00000E000000}"/>
    <cellStyle name="Smart Forecast" xfId="19" xr:uid="{00000000-0005-0000-0000-00000F000000}"/>
    <cellStyle name="Smart General" xfId="20" xr:uid="{00000000-0005-0000-0000-000010000000}"/>
    <cellStyle name="Smart Highlight" xfId="21" xr:uid="{00000000-0005-0000-0000-000011000000}"/>
    <cellStyle name="Smart Percent" xfId="22" xr:uid="{00000000-0005-0000-0000-000012000000}"/>
    <cellStyle name="Smart Source" xfId="23" xr:uid="{00000000-0005-0000-0000-000013000000}"/>
    <cellStyle name="Smart Subtitle 1" xfId="24" xr:uid="{00000000-0005-0000-0000-000014000000}"/>
    <cellStyle name="Smart Subtitle 1 2" xfId="30" xr:uid="{00000000-0005-0000-0000-000015000000}"/>
    <cellStyle name="Smart Subtitle 2" xfId="25" xr:uid="{00000000-0005-0000-0000-000016000000}"/>
    <cellStyle name="Smart Subtitle 3" xfId="29" xr:uid="{00000000-0005-0000-0000-000017000000}"/>
    <cellStyle name="Smart Subtotal" xfId="26" xr:uid="{00000000-0005-0000-0000-000018000000}"/>
    <cellStyle name="Smart Title" xfId="27" xr:uid="{00000000-0005-0000-0000-000019000000}"/>
    <cellStyle name="Smart Title 3" xfId="34" xr:uid="{00000000-0005-0000-0000-00001A000000}"/>
    <cellStyle name="Smart Total" xfId="28" xr:uid="{00000000-0005-0000-0000-00001B000000}"/>
    <cellStyle name="Standard" xfId="0" builtinId="0" customBuiltin="1"/>
    <cellStyle name="Standard 3" xfId="31" xr:uid="{00000000-0005-0000-0000-00001D000000}"/>
    <cellStyle name="Überschrift" xfId="2" builtinId="15" customBuiltin="1"/>
    <cellStyle name="Überschrift 1" xfId="3" builtinId="16" customBuiltin="1"/>
    <cellStyle name="Überschrift 2" xfId="4" builtinId="17" customBuiltin="1"/>
    <cellStyle name="Überschrift 3" xfId="5" builtinId="18" customBuiltin="1"/>
    <cellStyle name="Überschrift 4" xfId="6" builtinId="19" customBuiltin="1"/>
    <cellStyle name="Verknüpfte Zelle" xfId="13" builtinId="24" customBuiltin="1"/>
    <cellStyle name="Zelle überprüfen" xfId="14" builtinId="23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SmartTheme">
  <a:themeElements>
    <a:clrScheme name="Smart Report">
      <a:dk1>
        <a:srgbClr val="000000"/>
      </a:dk1>
      <a:lt1>
        <a:srgbClr val="FFFFFF"/>
      </a:lt1>
      <a:dk2>
        <a:srgbClr val="821A1A"/>
      </a:dk2>
      <a:lt2>
        <a:srgbClr val="FFFFFF"/>
      </a:lt2>
      <a:accent1>
        <a:srgbClr val="821A1A"/>
      </a:accent1>
      <a:accent2>
        <a:srgbClr val="D62E1C"/>
      </a:accent2>
      <a:accent3>
        <a:srgbClr val="FFCF48"/>
      </a:accent3>
      <a:accent4>
        <a:srgbClr val="E36A00"/>
      </a:accent4>
      <a:accent5>
        <a:srgbClr val="ABA591"/>
      </a:accent5>
      <a:accent6>
        <a:srgbClr val="877E62"/>
      </a:accent6>
      <a:hlink>
        <a:srgbClr val="821A1A"/>
      </a:hlink>
      <a:folHlink>
        <a:srgbClr val="821A1A"/>
      </a:folHlink>
    </a:clrScheme>
    <a:fontScheme name="Smart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AH80"/>
  <sheetViews>
    <sheetView showGridLines="0" tabSelected="1" zoomScaleNormal="100" workbookViewId="0">
      <pane xSplit="4" ySplit="7" topLeftCell="E8" activePane="bottomRight" state="frozen"/>
      <selection pane="topRight" activeCell="D1" sqref="D1"/>
      <selection pane="bottomLeft" activeCell="A9" sqref="A9"/>
      <selection pane="bottomRight" activeCell="M62" sqref="M62"/>
    </sheetView>
  </sheetViews>
  <sheetFormatPr baseColWidth="10" defaultColWidth="9.140625" defaultRowHeight="12" x14ac:dyDescent="0.2"/>
  <cols>
    <col min="1" max="1" width="1.85546875" customWidth="1"/>
    <col min="2" max="2" width="4" style="19" customWidth="1"/>
    <col min="4" max="4" width="24.42578125" customWidth="1"/>
    <col min="5" max="5" width="12.5703125" bestFit="1" customWidth="1"/>
    <col min="6" max="6" width="10.28515625" customWidth="1"/>
    <col min="7" max="7" width="14" customWidth="1"/>
    <col min="8" max="8" width="10" bestFit="1" customWidth="1"/>
    <col min="9" max="9" width="11.42578125" bestFit="1" customWidth="1"/>
    <col min="10" max="10" width="11" bestFit="1" customWidth="1"/>
    <col min="11" max="18" width="10.28515625" bestFit="1" customWidth="1"/>
    <col min="19" max="19" width="12.5703125" customWidth="1"/>
    <col min="20" max="20" width="10.28515625" bestFit="1" customWidth="1"/>
    <col min="21" max="21" width="11.42578125" customWidth="1"/>
    <col min="22" max="22" width="10.7109375" customWidth="1"/>
    <col min="23" max="33" width="10.28515625" bestFit="1" customWidth="1"/>
  </cols>
  <sheetData>
    <row r="2" spans="2:33" x14ac:dyDescent="0.2">
      <c r="C2" s="67" t="s">
        <v>58</v>
      </c>
      <c r="D2" s="47"/>
    </row>
    <row r="4" spans="2:33" x14ac:dyDescent="0.2">
      <c r="C4" t="s">
        <v>69</v>
      </c>
      <c r="F4" s="137">
        <v>2022</v>
      </c>
      <c r="G4" s="137"/>
      <c r="H4" s="137"/>
      <c r="I4" s="137"/>
      <c r="J4" s="137"/>
      <c r="K4" s="137">
        <v>2023</v>
      </c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8">
        <v>2024</v>
      </c>
      <c r="X4" s="139"/>
      <c r="Y4" s="139"/>
      <c r="Z4" s="139"/>
      <c r="AA4" s="139"/>
      <c r="AB4" s="139"/>
      <c r="AC4" s="139"/>
      <c r="AD4" s="139"/>
    </row>
    <row r="5" spans="2:33" x14ac:dyDescent="0.2">
      <c r="C5" t="s">
        <v>19</v>
      </c>
      <c r="D5" s="84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</row>
    <row r="6" spans="2:33" s="7" customFormat="1" x14ac:dyDescent="0.2">
      <c r="B6" s="19"/>
      <c r="C6"/>
      <c r="D6"/>
      <c r="E6" s="101"/>
      <c r="F6" s="73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  <c r="AC6" s="74"/>
      <c r="AD6" s="74"/>
      <c r="AE6" s="74"/>
      <c r="AF6" s="74"/>
      <c r="AG6" s="74"/>
    </row>
    <row r="7" spans="2:33" s="7" customFormat="1" x14ac:dyDescent="0.2">
      <c r="B7" s="19"/>
      <c r="C7" s="13" t="s">
        <v>51</v>
      </c>
      <c r="D7" s="1"/>
      <c r="E7" s="32"/>
      <c r="F7" s="100" t="s">
        <v>71</v>
      </c>
      <c r="G7" s="100" t="s">
        <v>72</v>
      </c>
      <c r="H7" s="100" t="s">
        <v>73</v>
      </c>
      <c r="I7" s="100" t="s">
        <v>74</v>
      </c>
      <c r="J7" s="100" t="s">
        <v>75</v>
      </c>
      <c r="K7" s="100" t="s">
        <v>76</v>
      </c>
      <c r="L7" s="100" t="s">
        <v>77</v>
      </c>
      <c r="M7" s="100" t="s">
        <v>78</v>
      </c>
      <c r="N7" s="100" t="s">
        <v>79</v>
      </c>
      <c r="O7" s="100" t="s">
        <v>80</v>
      </c>
      <c r="P7" s="100" t="s">
        <v>81</v>
      </c>
      <c r="Q7" s="100" t="s">
        <v>82</v>
      </c>
      <c r="R7" s="100" t="s">
        <v>71</v>
      </c>
      <c r="S7" s="100" t="s">
        <v>72</v>
      </c>
      <c r="T7" s="100" t="s">
        <v>73</v>
      </c>
      <c r="U7" s="100" t="s">
        <v>74</v>
      </c>
      <c r="V7" s="100" t="s">
        <v>75</v>
      </c>
      <c r="W7" s="100" t="s">
        <v>76</v>
      </c>
      <c r="X7" s="100" t="s">
        <v>77</v>
      </c>
      <c r="Y7" s="100" t="s">
        <v>78</v>
      </c>
      <c r="Z7" s="100" t="s">
        <v>79</v>
      </c>
      <c r="AA7" s="100" t="s">
        <v>80</v>
      </c>
      <c r="AB7" s="100" t="s">
        <v>81</v>
      </c>
      <c r="AC7" s="100" t="s">
        <v>82</v>
      </c>
      <c r="AD7" s="100" t="s">
        <v>71</v>
      </c>
      <c r="AE7" s="28"/>
      <c r="AF7" s="28"/>
      <c r="AG7" s="29"/>
    </row>
    <row r="8" spans="2:33" ht="12.75" thickBot="1" x14ac:dyDescent="0.25">
      <c r="C8" s="14"/>
      <c r="F8" s="36"/>
    </row>
    <row r="9" spans="2:33" ht="12.75" thickBot="1" x14ac:dyDescent="0.25">
      <c r="C9" s="15" t="s">
        <v>0</v>
      </c>
      <c r="D9" s="9"/>
      <c r="E9" s="33"/>
      <c r="F9" s="37">
        <f>E62</f>
        <v>0</v>
      </c>
      <c r="G9" s="10">
        <f t="shared" ref="G9:AG9" si="0">F62</f>
        <v>1334.9200000000019</v>
      </c>
      <c r="H9" s="10">
        <f t="shared" si="0"/>
        <v>3941.9200000000019</v>
      </c>
      <c r="I9" s="10">
        <f t="shared" si="0"/>
        <v>6282.9200000000019</v>
      </c>
      <c r="J9" s="10">
        <f t="shared" si="0"/>
        <v>8623.9200000000019</v>
      </c>
      <c r="K9" s="10">
        <f t="shared" si="0"/>
        <v>10964.920000000002</v>
      </c>
      <c r="L9" s="10">
        <f t="shared" si="0"/>
        <v>11855.920000000002</v>
      </c>
      <c r="M9" s="10">
        <f t="shared" si="0"/>
        <v>12746.920000000002</v>
      </c>
      <c r="N9" s="10">
        <f t="shared" si="0"/>
        <v>13637.920000000002</v>
      </c>
      <c r="O9" s="10">
        <f t="shared" si="0"/>
        <v>14528.920000000002</v>
      </c>
      <c r="P9" s="10">
        <f t="shared" si="0"/>
        <v>15419.920000000002</v>
      </c>
      <c r="Q9" s="10">
        <f t="shared" si="0"/>
        <v>16310.920000000002</v>
      </c>
      <c r="R9" s="10">
        <f t="shared" si="0"/>
        <v>17201.920000000002</v>
      </c>
      <c r="S9" s="10">
        <f t="shared" si="0"/>
        <v>18092.920000000002</v>
      </c>
      <c r="T9" s="10">
        <f t="shared" si="0"/>
        <v>18983.920000000002</v>
      </c>
      <c r="U9" s="10">
        <f t="shared" si="0"/>
        <v>19874.920000000002</v>
      </c>
      <c r="V9" s="10">
        <f t="shared" si="0"/>
        <v>20765.920000000002</v>
      </c>
      <c r="W9" s="10">
        <f t="shared" si="0"/>
        <v>21656.920000000002</v>
      </c>
      <c r="X9" s="10">
        <f t="shared" si="0"/>
        <v>26249.920000000002</v>
      </c>
      <c r="Y9" s="10">
        <f t="shared" si="0"/>
        <v>30842.920000000002</v>
      </c>
      <c r="Z9" s="10">
        <f t="shared" si="0"/>
        <v>35435.919999999998</v>
      </c>
      <c r="AA9" s="10">
        <f t="shared" si="0"/>
        <v>40028.92</v>
      </c>
      <c r="AB9" s="10">
        <f t="shared" si="0"/>
        <v>44621.919999999998</v>
      </c>
      <c r="AC9" s="10">
        <f t="shared" si="0"/>
        <v>49214.92</v>
      </c>
      <c r="AD9" s="10">
        <f t="shared" si="0"/>
        <v>53807.92</v>
      </c>
      <c r="AE9" s="10">
        <f t="shared" si="0"/>
        <v>58400.92</v>
      </c>
      <c r="AF9" s="10">
        <f t="shared" si="0"/>
        <v>58400.92</v>
      </c>
      <c r="AG9" s="10">
        <f t="shared" si="0"/>
        <v>58400.92</v>
      </c>
    </row>
    <row r="10" spans="2:33" x14ac:dyDescent="0.2">
      <c r="F10" s="36"/>
    </row>
    <row r="11" spans="2:33" x14ac:dyDescent="0.2">
      <c r="B11" s="19" t="s">
        <v>23</v>
      </c>
      <c r="C11" s="3" t="s">
        <v>1</v>
      </c>
      <c r="F11" s="36"/>
    </row>
    <row r="12" spans="2:33" x14ac:dyDescent="0.2">
      <c r="C12" s="3"/>
      <c r="F12" s="36"/>
    </row>
    <row r="13" spans="2:33" x14ac:dyDescent="0.2">
      <c r="B13" s="19" t="s">
        <v>24</v>
      </c>
      <c r="C13" s="18" t="s">
        <v>65</v>
      </c>
      <c r="F13" s="36"/>
    </row>
    <row r="14" spans="2:33" x14ac:dyDescent="0.2">
      <c r="C14" s="4" t="s">
        <v>20</v>
      </c>
      <c r="E14">
        <v>0</v>
      </c>
      <c r="F14" s="36"/>
    </row>
    <row r="15" spans="2:33" x14ac:dyDescent="0.2">
      <c r="C15" s="4" t="s">
        <v>22</v>
      </c>
      <c r="E15">
        <v>0</v>
      </c>
      <c r="F15" s="36"/>
    </row>
    <row r="16" spans="2:33" x14ac:dyDescent="0.2">
      <c r="C16" s="4" t="s">
        <v>21</v>
      </c>
      <c r="E16">
        <v>0</v>
      </c>
      <c r="F16" s="36"/>
    </row>
    <row r="17" spans="2:33" x14ac:dyDescent="0.2">
      <c r="B17" s="19" t="s">
        <v>25</v>
      </c>
      <c r="C17" s="18" t="s">
        <v>66</v>
      </c>
      <c r="E17">
        <v>0</v>
      </c>
      <c r="F17">
        <v>24130.84</v>
      </c>
      <c r="G17">
        <v>26000</v>
      </c>
      <c r="H17" s="63">
        <v>32000</v>
      </c>
      <c r="I17" s="63">
        <v>32000</v>
      </c>
      <c r="J17" s="63">
        <v>32000</v>
      </c>
      <c r="K17" s="63">
        <v>32000</v>
      </c>
      <c r="L17" s="63">
        <v>32000</v>
      </c>
      <c r="M17" s="63">
        <v>32000</v>
      </c>
      <c r="N17" s="63">
        <v>32000</v>
      </c>
      <c r="O17" s="63">
        <v>32000</v>
      </c>
      <c r="P17" s="63">
        <v>32000</v>
      </c>
      <c r="Q17" s="63">
        <v>32000</v>
      </c>
      <c r="R17" s="63">
        <v>32000</v>
      </c>
      <c r="S17" s="63">
        <v>32000</v>
      </c>
      <c r="T17" s="63">
        <v>32000</v>
      </c>
      <c r="U17" s="63">
        <v>32000</v>
      </c>
      <c r="V17" s="63">
        <v>32000</v>
      </c>
      <c r="W17" s="63">
        <v>37000</v>
      </c>
      <c r="X17" s="63">
        <v>37000</v>
      </c>
      <c r="Y17" s="63">
        <v>37000</v>
      </c>
      <c r="Z17" s="63">
        <v>37000</v>
      </c>
      <c r="AA17" s="63">
        <v>37000</v>
      </c>
      <c r="AB17" s="63">
        <v>37000</v>
      </c>
      <c r="AC17" s="63">
        <v>37000</v>
      </c>
      <c r="AD17" s="63">
        <v>37000</v>
      </c>
    </row>
    <row r="18" spans="2:33" x14ac:dyDescent="0.2">
      <c r="B18" s="19" t="s">
        <v>26</v>
      </c>
      <c r="C18" s="18" t="s">
        <v>27</v>
      </c>
      <c r="E18" s="2">
        <v>0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2:33" x14ac:dyDescent="0.2">
      <c r="B19" s="19" t="s">
        <v>68</v>
      </c>
      <c r="C19" s="18"/>
      <c r="E19" s="2">
        <v>0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2:33" x14ac:dyDescent="0.2">
      <c r="C20" s="18"/>
      <c r="E20" s="2">
        <v>0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2:33" x14ac:dyDescent="0.2">
      <c r="C21" s="18"/>
      <c r="E21" s="2">
        <v>0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2:33" x14ac:dyDescent="0.2">
      <c r="C22" s="18"/>
      <c r="E22" s="2">
        <v>0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2:33" x14ac:dyDescent="0.2">
      <c r="C23" s="18"/>
      <c r="E23" s="2">
        <v>0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2:33" x14ac:dyDescent="0.2">
      <c r="C24" s="18"/>
      <c r="E24" s="2">
        <v>0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2:33" x14ac:dyDescent="0.2">
      <c r="C25" s="18"/>
      <c r="E25" s="2">
        <v>0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2:33" x14ac:dyDescent="0.2">
      <c r="C26" s="5"/>
      <c r="E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2:33" ht="12.75" thickBot="1" x14ac:dyDescent="0.25">
      <c r="B27" s="20"/>
      <c r="C27" s="23" t="s">
        <v>9</v>
      </c>
      <c r="D27" s="23"/>
      <c r="E27" s="24"/>
      <c r="F27" s="24">
        <f t="shared" ref="F27" si="1">SUM(F13:F26)</f>
        <v>24130.84</v>
      </c>
      <c r="G27" s="24">
        <f t="shared" ref="G27" si="2">SUM(G13:G26)</f>
        <v>26000</v>
      </c>
      <c r="H27" s="24">
        <f t="shared" ref="H27:U27" si="3">SUM(H13:H26)</f>
        <v>32000</v>
      </c>
      <c r="I27" s="24">
        <f t="shared" si="3"/>
        <v>32000</v>
      </c>
      <c r="J27" s="24">
        <f t="shared" si="3"/>
        <v>32000</v>
      </c>
      <c r="K27" s="24">
        <f t="shared" si="3"/>
        <v>32000</v>
      </c>
      <c r="L27" s="24">
        <f t="shared" si="3"/>
        <v>32000</v>
      </c>
      <c r="M27" s="24">
        <f t="shared" si="3"/>
        <v>32000</v>
      </c>
      <c r="N27" s="24">
        <f t="shared" si="3"/>
        <v>32000</v>
      </c>
      <c r="O27" s="24">
        <f t="shared" si="3"/>
        <v>32000</v>
      </c>
      <c r="P27" s="24">
        <f t="shared" si="3"/>
        <v>32000</v>
      </c>
      <c r="Q27" s="24">
        <f t="shared" si="3"/>
        <v>32000</v>
      </c>
      <c r="R27" s="24">
        <f t="shared" si="3"/>
        <v>32000</v>
      </c>
      <c r="S27" s="24">
        <f t="shared" si="3"/>
        <v>32000</v>
      </c>
      <c r="T27" s="24">
        <f t="shared" si="3"/>
        <v>32000</v>
      </c>
      <c r="U27" s="24">
        <f t="shared" si="3"/>
        <v>32000</v>
      </c>
      <c r="V27" s="24">
        <f t="shared" ref="V27:AG27" si="4">SUM(V13:V26)</f>
        <v>32000</v>
      </c>
      <c r="W27" s="24">
        <f t="shared" si="4"/>
        <v>37000</v>
      </c>
      <c r="X27" s="24">
        <f t="shared" si="4"/>
        <v>37000</v>
      </c>
      <c r="Y27" s="24">
        <f t="shared" si="4"/>
        <v>37000</v>
      </c>
      <c r="Z27" s="24">
        <f t="shared" si="4"/>
        <v>37000</v>
      </c>
      <c r="AA27" s="24">
        <f t="shared" si="4"/>
        <v>37000</v>
      </c>
      <c r="AB27" s="24">
        <f t="shared" si="4"/>
        <v>37000</v>
      </c>
      <c r="AC27" s="24">
        <f t="shared" si="4"/>
        <v>37000</v>
      </c>
      <c r="AD27" s="24">
        <f t="shared" si="4"/>
        <v>37000</v>
      </c>
      <c r="AE27" s="24">
        <f t="shared" si="4"/>
        <v>0</v>
      </c>
      <c r="AF27" s="24">
        <f t="shared" si="4"/>
        <v>0</v>
      </c>
      <c r="AG27" s="24">
        <f t="shared" si="4"/>
        <v>0</v>
      </c>
    </row>
    <row r="28" spans="2:33" ht="12" customHeight="1" x14ac:dyDescent="0.2">
      <c r="E28" s="2"/>
      <c r="H28" s="2"/>
    </row>
    <row r="29" spans="2:33" ht="10.5" customHeight="1" x14ac:dyDescent="0.2">
      <c r="B29" s="19" t="s">
        <v>30</v>
      </c>
      <c r="C29" s="3" t="s">
        <v>31</v>
      </c>
    </row>
    <row r="30" spans="2:33" ht="10.5" customHeight="1" x14ac:dyDescent="0.2"/>
    <row r="31" spans="2:33" x14ac:dyDescent="0.2">
      <c r="B31" s="19" t="s">
        <v>28</v>
      </c>
      <c r="C31" s="5" t="s">
        <v>2</v>
      </c>
      <c r="D31" s="5"/>
      <c r="E31">
        <v>0</v>
      </c>
    </row>
    <row r="32" spans="2:33" x14ac:dyDescent="0.2">
      <c r="B32" s="19" t="s">
        <v>29</v>
      </c>
      <c r="C32" s="5" t="s">
        <v>8</v>
      </c>
      <c r="D32" s="5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</row>
    <row r="33" spans="2:34" x14ac:dyDescent="0.2">
      <c r="C33" s="8" t="s">
        <v>4</v>
      </c>
      <c r="E33">
        <v>0</v>
      </c>
    </row>
    <row r="34" spans="2:34" x14ac:dyDescent="0.2">
      <c r="C34" s="8" t="s">
        <v>5</v>
      </c>
      <c r="E34">
        <v>0</v>
      </c>
      <c r="F34" s="103">
        <f xml:space="preserve"> - 2000 + - 1600</f>
        <v>-3600</v>
      </c>
      <c r="G34" s="103">
        <f xml:space="preserve"> - 1600 + - 2000</f>
        <v>-3600</v>
      </c>
      <c r="H34" s="103">
        <f xml:space="preserve"> - 2000 + - 1800 + - 1800</f>
        <v>-5600</v>
      </c>
      <c r="I34" s="103">
        <f t="shared" ref="I34:AD34" si="5" xml:space="preserve"> - 2000 + - 1800 + - 1800</f>
        <v>-5600</v>
      </c>
      <c r="J34" s="103">
        <f t="shared" si="5"/>
        <v>-5600</v>
      </c>
      <c r="K34" s="103">
        <f t="shared" si="5"/>
        <v>-5600</v>
      </c>
      <c r="L34" s="103">
        <f t="shared" si="5"/>
        <v>-5600</v>
      </c>
      <c r="M34" s="103">
        <f t="shared" si="5"/>
        <v>-5600</v>
      </c>
      <c r="N34" s="103">
        <f t="shared" si="5"/>
        <v>-5600</v>
      </c>
      <c r="O34" s="103">
        <f t="shared" si="5"/>
        <v>-5600</v>
      </c>
      <c r="P34" s="103">
        <f t="shared" si="5"/>
        <v>-5600</v>
      </c>
      <c r="Q34" s="103">
        <f t="shared" si="5"/>
        <v>-5600</v>
      </c>
      <c r="R34" s="103">
        <f t="shared" si="5"/>
        <v>-5600</v>
      </c>
      <c r="S34" s="103">
        <f t="shared" si="5"/>
        <v>-5600</v>
      </c>
      <c r="T34" s="103">
        <f t="shared" si="5"/>
        <v>-5600</v>
      </c>
      <c r="U34" s="103">
        <f t="shared" si="5"/>
        <v>-5600</v>
      </c>
      <c r="V34" s="103">
        <f t="shared" si="5"/>
        <v>-5600</v>
      </c>
      <c r="W34" s="103">
        <f t="shared" si="5"/>
        <v>-5600</v>
      </c>
      <c r="X34" s="103">
        <f t="shared" si="5"/>
        <v>-5600</v>
      </c>
      <c r="Y34" s="103">
        <f t="shared" si="5"/>
        <v>-5600</v>
      </c>
      <c r="Z34" s="103">
        <f t="shared" si="5"/>
        <v>-5600</v>
      </c>
      <c r="AA34" s="103">
        <f t="shared" si="5"/>
        <v>-5600</v>
      </c>
      <c r="AB34" s="103">
        <f t="shared" si="5"/>
        <v>-5600</v>
      </c>
      <c r="AC34" s="103">
        <f t="shared" si="5"/>
        <v>-5600</v>
      </c>
      <c r="AD34" s="103">
        <f t="shared" si="5"/>
        <v>-5600</v>
      </c>
    </row>
    <row r="35" spans="2:34" x14ac:dyDescent="0.2">
      <c r="C35" s="8" t="s">
        <v>6</v>
      </c>
      <c r="E35">
        <v>0</v>
      </c>
      <c r="F35" s="103">
        <f xml:space="preserve"> - 2249.24 + - 648.3 + - 283</f>
        <v>-3180.54</v>
      </c>
      <c r="G35" s="103">
        <f xml:space="preserve"> - 1500 + - 642</f>
        <v>-2142</v>
      </c>
      <c r="H35" s="103">
        <v>-2400</v>
      </c>
      <c r="I35" s="103">
        <v>-2400</v>
      </c>
      <c r="J35" s="103">
        <v>-2400</v>
      </c>
      <c r="K35" s="103">
        <v>-2400</v>
      </c>
      <c r="L35" s="103">
        <v>-2400</v>
      </c>
      <c r="M35" s="103">
        <v>-2400</v>
      </c>
      <c r="N35" s="103">
        <v>-2400</v>
      </c>
      <c r="O35" s="103">
        <v>-2400</v>
      </c>
      <c r="P35" s="103">
        <v>-2400</v>
      </c>
      <c r="Q35" s="103">
        <v>-2400</v>
      </c>
      <c r="R35" s="103">
        <v>-2400</v>
      </c>
      <c r="S35" s="103">
        <v>-2400</v>
      </c>
      <c r="T35" s="103">
        <v>-2400</v>
      </c>
      <c r="U35" s="103">
        <v>-2400</v>
      </c>
      <c r="V35" s="103">
        <v>-2400</v>
      </c>
      <c r="W35" s="103">
        <v>-2400</v>
      </c>
      <c r="X35" s="103">
        <v>-2400</v>
      </c>
      <c r="Y35" s="103">
        <v>-2400</v>
      </c>
      <c r="Z35" s="103">
        <v>-2400</v>
      </c>
      <c r="AA35" s="103">
        <v>-2400</v>
      </c>
      <c r="AB35" s="103">
        <v>-2400</v>
      </c>
      <c r="AC35" s="103">
        <v>-2400</v>
      </c>
      <c r="AD35" s="103">
        <v>-2400</v>
      </c>
    </row>
    <row r="36" spans="2:34" x14ac:dyDescent="0.2">
      <c r="C36" s="8" t="s">
        <v>7</v>
      </c>
      <c r="E36">
        <v>0</v>
      </c>
      <c r="F36" s="103">
        <v>-250</v>
      </c>
      <c r="G36" s="103">
        <v>-250</v>
      </c>
      <c r="H36" s="103">
        <v>-300</v>
      </c>
      <c r="I36" s="103">
        <v>-300</v>
      </c>
      <c r="J36" s="103">
        <v>-300</v>
      </c>
      <c r="K36" s="103">
        <v>-300</v>
      </c>
      <c r="L36" s="103">
        <v>-300</v>
      </c>
      <c r="M36" s="103">
        <v>-300</v>
      </c>
      <c r="N36" s="103">
        <v>-300</v>
      </c>
      <c r="O36" s="103">
        <v>-300</v>
      </c>
      <c r="P36" s="103">
        <v>-300</v>
      </c>
      <c r="Q36" s="103">
        <v>-300</v>
      </c>
      <c r="R36" s="103">
        <v>-300</v>
      </c>
      <c r="S36" s="103">
        <v>-300</v>
      </c>
      <c r="T36" s="103">
        <v>-300</v>
      </c>
      <c r="U36" s="103">
        <v>-300</v>
      </c>
      <c r="V36" s="103">
        <v>-300</v>
      </c>
      <c r="W36" s="103">
        <v>-300</v>
      </c>
      <c r="X36" s="103">
        <v>-300</v>
      </c>
      <c r="Y36" s="103">
        <v>-300</v>
      </c>
      <c r="Z36" s="103">
        <v>-300</v>
      </c>
      <c r="AA36" s="103">
        <v>-300</v>
      </c>
      <c r="AB36" s="103">
        <v>-300</v>
      </c>
      <c r="AC36" s="103">
        <v>-300</v>
      </c>
      <c r="AD36" s="103">
        <v>-300</v>
      </c>
    </row>
    <row r="37" spans="2:34" x14ac:dyDescent="0.2">
      <c r="C37" s="8" t="s">
        <v>32</v>
      </c>
      <c r="E37">
        <v>0</v>
      </c>
      <c r="F37" s="103"/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3"/>
      <c r="V37" s="103"/>
      <c r="W37" s="103"/>
      <c r="X37" s="103"/>
      <c r="Y37" s="103"/>
      <c r="Z37" s="103"/>
      <c r="AA37" s="103"/>
      <c r="AB37" s="103"/>
      <c r="AC37" s="103"/>
      <c r="AD37" s="103"/>
    </row>
    <row r="38" spans="2:34" hidden="1" x14ac:dyDescent="0.2">
      <c r="C38" s="43" t="s">
        <v>54</v>
      </c>
      <c r="D38" s="44"/>
      <c r="E38" s="44">
        <f t="shared" ref="E38" si="6">SUM(E39:E43)</f>
        <v>0</v>
      </c>
      <c r="F38" s="105">
        <f t="shared" ref="F38" si="7">SUM(F33:F37)</f>
        <v>-7030.54</v>
      </c>
      <c r="G38" s="105">
        <f t="shared" ref="G38" si="8">SUM(G33:G37)</f>
        <v>-5992</v>
      </c>
      <c r="H38" s="105"/>
      <c r="I38" s="105"/>
      <c r="J38" s="105"/>
      <c r="K38" s="105"/>
      <c r="L38" s="105"/>
      <c r="M38" s="105"/>
      <c r="N38" s="105"/>
      <c r="O38" s="105"/>
      <c r="P38" s="105"/>
      <c r="Q38" s="105"/>
      <c r="R38" s="105">
        <f t="shared" ref="R38:AG38" si="9">SUM(R33:R37)</f>
        <v>-8300</v>
      </c>
      <c r="S38" s="105">
        <f t="shared" si="9"/>
        <v>-8300</v>
      </c>
      <c r="T38" s="105">
        <f t="shared" si="9"/>
        <v>-8300</v>
      </c>
      <c r="U38" s="105">
        <f t="shared" si="9"/>
        <v>-8300</v>
      </c>
      <c r="V38" s="105">
        <f t="shared" si="9"/>
        <v>-8300</v>
      </c>
      <c r="W38" s="105">
        <f t="shared" si="9"/>
        <v>-8300</v>
      </c>
      <c r="X38" s="105">
        <f t="shared" si="9"/>
        <v>-8300</v>
      </c>
      <c r="Y38" s="105">
        <f t="shared" si="9"/>
        <v>-8300</v>
      </c>
      <c r="Z38" s="105">
        <f t="shared" si="9"/>
        <v>-8300</v>
      </c>
      <c r="AA38" s="105">
        <f t="shared" si="9"/>
        <v>-8300</v>
      </c>
      <c r="AB38" s="105">
        <f t="shared" si="9"/>
        <v>-8300</v>
      </c>
      <c r="AC38" s="105">
        <f t="shared" si="9"/>
        <v>-8300</v>
      </c>
      <c r="AD38" s="105">
        <f t="shared" si="9"/>
        <v>-8300</v>
      </c>
      <c r="AE38" s="46">
        <f t="shared" si="9"/>
        <v>0</v>
      </c>
      <c r="AF38" s="46">
        <f t="shared" si="9"/>
        <v>0</v>
      </c>
      <c r="AG38" s="46">
        <f t="shared" si="9"/>
        <v>0</v>
      </c>
      <c r="AH38" s="7"/>
    </row>
    <row r="39" spans="2:34" x14ac:dyDescent="0.2">
      <c r="B39" s="19" t="s">
        <v>33</v>
      </c>
      <c r="C39" s="2" t="s">
        <v>10</v>
      </c>
      <c r="E39">
        <v>0</v>
      </c>
      <c r="F39" s="103">
        <v>-3853</v>
      </c>
      <c r="G39" s="103">
        <v>-4151</v>
      </c>
      <c r="H39" s="103">
        <v>-5109</v>
      </c>
      <c r="I39" s="103">
        <v>-5109</v>
      </c>
      <c r="J39" s="103">
        <v>-5109</v>
      </c>
      <c r="K39" s="103">
        <v>-5109</v>
      </c>
      <c r="L39" s="103">
        <v>-5109</v>
      </c>
      <c r="M39" s="103">
        <v>-5109</v>
      </c>
      <c r="N39" s="103">
        <v>-5109</v>
      </c>
      <c r="O39" s="103">
        <v>-5109</v>
      </c>
      <c r="P39" s="103">
        <v>-5109</v>
      </c>
      <c r="Q39" s="103">
        <v>-5109</v>
      </c>
      <c r="R39" s="103">
        <v>-5109</v>
      </c>
      <c r="S39" s="103">
        <v>-5109</v>
      </c>
      <c r="T39" s="103">
        <v>-5109</v>
      </c>
      <c r="U39" s="103">
        <v>-5109</v>
      </c>
      <c r="V39" s="103">
        <v>-5109</v>
      </c>
      <c r="W39" s="103">
        <v>-5907</v>
      </c>
      <c r="X39" s="103">
        <v>-5907</v>
      </c>
      <c r="Y39" s="103">
        <v>-5907</v>
      </c>
      <c r="Z39" s="103">
        <v>-5907</v>
      </c>
      <c r="AA39" s="103">
        <v>-5907</v>
      </c>
      <c r="AB39" s="103">
        <v>-5907</v>
      </c>
      <c r="AC39" s="103">
        <v>-5907</v>
      </c>
      <c r="AD39" s="103">
        <v>-5907</v>
      </c>
    </row>
    <row r="40" spans="2:34" x14ac:dyDescent="0.2">
      <c r="B40" s="19" t="s">
        <v>34</v>
      </c>
      <c r="C40" t="s">
        <v>35</v>
      </c>
      <c r="E40" s="2">
        <v>0</v>
      </c>
      <c r="F40" s="103">
        <v>-500</v>
      </c>
      <c r="G40" s="103">
        <v>-500</v>
      </c>
      <c r="H40" s="103">
        <v>-500</v>
      </c>
      <c r="I40" s="103">
        <v>-500</v>
      </c>
      <c r="J40" s="103">
        <v>-500</v>
      </c>
      <c r="K40" s="103">
        <v>-500</v>
      </c>
      <c r="L40" s="103">
        <v>-500</v>
      </c>
      <c r="M40" s="103">
        <v>-500</v>
      </c>
      <c r="N40" s="103">
        <v>-500</v>
      </c>
      <c r="O40" s="103">
        <v>-500</v>
      </c>
      <c r="P40" s="103">
        <v>-500</v>
      </c>
      <c r="Q40" s="103">
        <v>-500</v>
      </c>
      <c r="R40" s="103">
        <v>-500</v>
      </c>
      <c r="S40" s="103">
        <v>-500</v>
      </c>
      <c r="T40" s="103">
        <v>-500</v>
      </c>
      <c r="U40" s="103">
        <v>-500</v>
      </c>
      <c r="V40" s="103">
        <v>-500</v>
      </c>
      <c r="W40" s="103">
        <v>-500</v>
      </c>
      <c r="X40" s="103">
        <v>-500</v>
      </c>
      <c r="Y40" s="103">
        <v>-500</v>
      </c>
      <c r="Z40" s="103">
        <v>-500</v>
      </c>
      <c r="AA40" s="103">
        <v>-500</v>
      </c>
      <c r="AB40" s="103">
        <v>-500</v>
      </c>
      <c r="AC40" s="103">
        <v>-500</v>
      </c>
      <c r="AD40" s="103">
        <v>-500</v>
      </c>
    </row>
    <row r="41" spans="2:34" x14ac:dyDescent="0.2">
      <c r="B41" s="19" t="s">
        <v>36</v>
      </c>
      <c r="C41" t="s">
        <v>102</v>
      </c>
      <c r="E41" s="2">
        <v>0</v>
      </c>
      <c r="F41" s="103">
        <f xml:space="preserve"> - 1330.41 + - 367.48 + - 500 + - 408.89</f>
        <v>-2606.7800000000002</v>
      </c>
      <c r="G41" s="103">
        <v>-3000</v>
      </c>
      <c r="H41" s="103">
        <v>-5000</v>
      </c>
      <c r="I41" s="103">
        <v>-5000</v>
      </c>
      <c r="J41" s="103">
        <v>-5000</v>
      </c>
      <c r="K41" s="103">
        <v>-5000</v>
      </c>
      <c r="L41" s="103">
        <v>-5000</v>
      </c>
      <c r="M41" s="103">
        <v>-5000</v>
      </c>
      <c r="N41" s="103">
        <v>-5000</v>
      </c>
      <c r="O41" s="103">
        <v>-5000</v>
      </c>
      <c r="P41" s="103">
        <v>-5000</v>
      </c>
      <c r="Q41" s="103">
        <v>-5000</v>
      </c>
      <c r="R41" s="103">
        <v>-5000</v>
      </c>
      <c r="S41" s="103">
        <v>-5000</v>
      </c>
      <c r="T41" s="103">
        <v>-5000</v>
      </c>
      <c r="U41" s="103">
        <v>-5000</v>
      </c>
      <c r="V41" s="103">
        <v>-5000</v>
      </c>
      <c r="W41" s="103">
        <v>-5000</v>
      </c>
      <c r="X41" s="103">
        <v>-5000</v>
      </c>
      <c r="Y41" s="103">
        <v>-5000</v>
      </c>
      <c r="Z41" s="103">
        <v>-5000</v>
      </c>
      <c r="AA41" s="103">
        <v>-5000</v>
      </c>
      <c r="AB41" s="103">
        <v>-5000</v>
      </c>
      <c r="AC41" s="103">
        <v>-5000</v>
      </c>
      <c r="AD41" s="103">
        <v>-5000</v>
      </c>
    </row>
    <row r="42" spans="2:34" x14ac:dyDescent="0.2">
      <c r="B42" s="19" t="s">
        <v>36</v>
      </c>
      <c r="C42" t="s">
        <v>93</v>
      </c>
      <c r="E42" s="2">
        <v>0</v>
      </c>
      <c r="F42" s="102">
        <v>-2500</v>
      </c>
      <c r="G42" s="102">
        <v>-2500</v>
      </c>
      <c r="H42" s="102">
        <v>-3500</v>
      </c>
      <c r="I42" s="102">
        <v>-3500</v>
      </c>
      <c r="J42" s="102">
        <v>-3500</v>
      </c>
      <c r="K42" s="102">
        <v>-3500</v>
      </c>
      <c r="L42" s="102">
        <v>-3500</v>
      </c>
      <c r="M42" s="102">
        <v>-3500</v>
      </c>
      <c r="N42" s="102">
        <v>-3500</v>
      </c>
      <c r="O42" s="102">
        <v>-3500</v>
      </c>
      <c r="P42" s="102">
        <v>-3500</v>
      </c>
      <c r="Q42" s="102">
        <v>-3500</v>
      </c>
      <c r="R42" s="102">
        <v>-3500</v>
      </c>
      <c r="S42" s="102">
        <v>-3500</v>
      </c>
      <c r="T42" s="102">
        <v>-3500</v>
      </c>
      <c r="U42" s="102">
        <v>-3500</v>
      </c>
      <c r="V42" s="102">
        <v>-3500</v>
      </c>
      <c r="W42" s="102">
        <v>-3500</v>
      </c>
      <c r="X42" s="102">
        <v>-3500</v>
      </c>
      <c r="Y42" s="102">
        <v>-3500</v>
      </c>
      <c r="Z42" s="102">
        <v>-3500</v>
      </c>
      <c r="AA42" s="102">
        <v>-3500</v>
      </c>
      <c r="AB42" s="102">
        <v>-3500</v>
      </c>
      <c r="AC42" s="102">
        <v>-3500</v>
      </c>
      <c r="AD42" s="102">
        <v>-3500</v>
      </c>
    </row>
    <row r="43" spans="2:34" x14ac:dyDescent="0.2">
      <c r="B43" s="19" t="s">
        <v>38</v>
      </c>
      <c r="C43" t="s">
        <v>70</v>
      </c>
      <c r="E43" s="2">
        <v>0</v>
      </c>
      <c r="F43" s="103">
        <v>-392</v>
      </c>
      <c r="G43" s="103">
        <v>-500</v>
      </c>
      <c r="H43" s="103">
        <v>-500</v>
      </c>
      <c r="I43" s="103">
        <v>-500</v>
      </c>
      <c r="J43" s="103">
        <v>-500</v>
      </c>
      <c r="K43" s="103">
        <v>-500</v>
      </c>
      <c r="L43" s="103">
        <v>-500</v>
      </c>
      <c r="M43" s="103">
        <v>-500</v>
      </c>
      <c r="N43" s="103">
        <v>-500</v>
      </c>
      <c r="O43" s="103">
        <v>-500</v>
      </c>
      <c r="P43" s="103">
        <v>-500</v>
      </c>
      <c r="Q43" s="103">
        <v>-500</v>
      </c>
      <c r="R43" s="103">
        <v>-500</v>
      </c>
      <c r="S43" s="103">
        <v>-500</v>
      </c>
      <c r="T43" s="103">
        <v>-500</v>
      </c>
      <c r="U43" s="103">
        <v>-500</v>
      </c>
      <c r="V43" s="103">
        <v>-500</v>
      </c>
      <c r="W43" s="103">
        <v>-500</v>
      </c>
      <c r="X43" s="103">
        <v>-500</v>
      </c>
      <c r="Y43" s="103">
        <v>-500</v>
      </c>
      <c r="Z43" s="103">
        <v>-500</v>
      </c>
      <c r="AA43" s="103">
        <v>-500</v>
      </c>
      <c r="AB43" s="103">
        <v>-500</v>
      </c>
      <c r="AC43" s="103">
        <v>-500</v>
      </c>
      <c r="AD43" s="103">
        <v>-500</v>
      </c>
    </row>
    <row r="44" spans="2:34" x14ac:dyDescent="0.2">
      <c r="B44" s="19" t="s">
        <v>46</v>
      </c>
      <c r="C44" t="s">
        <v>97</v>
      </c>
      <c r="E44" s="2">
        <v>0</v>
      </c>
      <c r="F44" s="103"/>
      <c r="G44" s="103"/>
      <c r="H44" s="106"/>
      <c r="I44" s="106"/>
      <c r="J44" s="106"/>
      <c r="K44" s="106">
        <v>-1000</v>
      </c>
      <c r="L44" s="106">
        <v>-1000</v>
      </c>
      <c r="M44" s="106">
        <v>-1000</v>
      </c>
      <c r="N44" s="106">
        <v>-1000</v>
      </c>
      <c r="O44" s="106">
        <v>-1000</v>
      </c>
      <c r="P44" s="106">
        <v>-1000</v>
      </c>
      <c r="Q44" s="106">
        <v>-1000</v>
      </c>
      <c r="R44" s="106">
        <v>-1000</v>
      </c>
      <c r="S44" s="106">
        <v>-1000</v>
      </c>
      <c r="T44" s="106">
        <v>-1000</v>
      </c>
      <c r="U44" s="106">
        <v>-1000</v>
      </c>
      <c r="V44" s="106">
        <v>-1000</v>
      </c>
      <c r="W44" s="106">
        <v>-1000</v>
      </c>
      <c r="X44" s="106">
        <v>-1000</v>
      </c>
      <c r="Y44" s="106">
        <v>-1000</v>
      </c>
      <c r="Z44" s="106">
        <v>-1000</v>
      </c>
      <c r="AA44" s="106">
        <v>-1000</v>
      </c>
      <c r="AB44" s="106">
        <v>-1000</v>
      </c>
      <c r="AC44" s="106">
        <v>-1000</v>
      </c>
      <c r="AD44" s="106">
        <v>-1000</v>
      </c>
    </row>
    <row r="45" spans="2:34" x14ac:dyDescent="0.2">
      <c r="B45" s="19" t="s">
        <v>39</v>
      </c>
      <c r="C45" t="s">
        <v>11</v>
      </c>
      <c r="E45" s="2">
        <v>0</v>
      </c>
      <c r="F45" s="103">
        <f xml:space="preserve"> - 1500 + - 163.6</f>
        <v>-1663.6</v>
      </c>
      <c r="G45" s="103">
        <v>-2500</v>
      </c>
      <c r="H45" s="103">
        <v>-2500</v>
      </c>
      <c r="I45" s="103">
        <v>-2500</v>
      </c>
      <c r="J45" s="103">
        <v>-2500</v>
      </c>
      <c r="K45" s="103">
        <v>-2500</v>
      </c>
      <c r="L45" s="103">
        <v>-2500</v>
      </c>
      <c r="M45" s="103">
        <v>-2500</v>
      </c>
      <c r="N45" s="103">
        <v>-2500</v>
      </c>
      <c r="O45" s="103">
        <v>-2500</v>
      </c>
      <c r="P45" s="103">
        <v>-2500</v>
      </c>
      <c r="Q45" s="103">
        <v>-2500</v>
      </c>
      <c r="R45" s="103">
        <v>-2500</v>
      </c>
      <c r="S45" s="103">
        <v>-2500</v>
      </c>
      <c r="T45" s="103">
        <v>-2500</v>
      </c>
      <c r="U45" s="103">
        <v>-2500</v>
      </c>
      <c r="V45" s="103">
        <v>-2500</v>
      </c>
      <c r="W45" s="103">
        <v>-2500</v>
      </c>
      <c r="X45" s="103">
        <v>-2500</v>
      </c>
      <c r="Y45" s="103">
        <v>-2500</v>
      </c>
      <c r="Z45" s="103">
        <v>-2500</v>
      </c>
      <c r="AA45" s="103">
        <v>-2500</v>
      </c>
      <c r="AB45" s="103">
        <v>-2500</v>
      </c>
      <c r="AC45" s="103">
        <v>-2500</v>
      </c>
      <c r="AD45" s="103">
        <v>-2500</v>
      </c>
    </row>
    <row r="46" spans="2:34" x14ac:dyDescent="0.2">
      <c r="B46" s="19" t="s">
        <v>40</v>
      </c>
      <c r="C46" t="s">
        <v>12</v>
      </c>
      <c r="E46" s="2">
        <v>0</v>
      </c>
      <c r="F46" s="103"/>
      <c r="G46" s="103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3"/>
      <c r="T46" s="106"/>
      <c r="U46" s="103"/>
      <c r="V46" s="103"/>
      <c r="W46" s="103"/>
      <c r="X46" s="103"/>
      <c r="Y46" s="103"/>
      <c r="Z46" s="103"/>
      <c r="AA46" s="103"/>
      <c r="AB46" s="103"/>
      <c r="AC46" s="103"/>
      <c r="AD46" s="103"/>
    </row>
    <row r="47" spans="2:34" x14ac:dyDescent="0.2">
      <c r="B47" s="19" t="s">
        <v>41</v>
      </c>
      <c r="C47" t="s">
        <v>13</v>
      </c>
      <c r="E47" s="2">
        <v>0</v>
      </c>
      <c r="F47" s="103">
        <v>-700</v>
      </c>
      <c r="G47" s="103">
        <v>-700</v>
      </c>
      <c r="H47" s="103">
        <v>-700</v>
      </c>
      <c r="I47" s="103">
        <v>-700</v>
      </c>
      <c r="J47" s="103">
        <v>-700</v>
      </c>
      <c r="K47" s="103">
        <v>-700</v>
      </c>
      <c r="L47" s="103">
        <v>-700</v>
      </c>
      <c r="M47" s="103">
        <v>-700</v>
      </c>
      <c r="N47" s="103">
        <v>-700</v>
      </c>
      <c r="O47" s="103">
        <v>-700</v>
      </c>
      <c r="P47" s="103">
        <v>-700</v>
      </c>
      <c r="Q47" s="103">
        <v>-700</v>
      </c>
      <c r="R47" s="103">
        <v>-700</v>
      </c>
      <c r="S47" s="103">
        <v>-700</v>
      </c>
      <c r="T47" s="103">
        <v>-700</v>
      </c>
      <c r="U47" s="103">
        <v>-700</v>
      </c>
      <c r="V47" s="103">
        <v>-700</v>
      </c>
      <c r="W47" s="103">
        <v>-700</v>
      </c>
      <c r="X47" s="103">
        <v>-700</v>
      </c>
      <c r="Y47" s="103">
        <v>-700</v>
      </c>
      <c r="Z47" s="103">
        <v>-700</v>
      </c>
      <c r="AA47" s="103">
        <v>-700</v>
      </c>
      <c r="AB47" s="103">
        <v>-700</v>
      </c>
      <c r="AC47" s="103">
        <v>-700</v>
      </c>
      <c r="AD47" s="103">
        <v>-700</v>
      </c>
    </row>
    <row r="48" spans="2:34" x14ac:dyDescent="0.2">
      <c r="B48" s="19" t="s">
        <v>42</v>
      </c>
      <c r="C48" t="s">
        <v>101</v>
      </c>
      <c r="E48" s="2">
        <v>0</v>
      </c>
      <c r="F48" s="103">
        <v>-250</v>
      </c>
      <c r="G48" s="103">
        <v>-250</v>
      </c>
      <c r="H48" s="103">
        <v>-250</v>
      </c>
      <c r="I48" s="103">
        <v>-250</v>
      </c>
      <c r="J48" s="103">
        <v>-250</v>
      </c>
      <c r="K48" s="103">
        <v>-700</v>
      </c>
      <c r="L48" s="103">
        <v>-700</v>
      </c>
      <c r="M48" s="103">
        <v>-700</v>
      </c>
      <c r="N48" s="103">
        <v>-700</v>
      </c>
      <c r="O48" s="103">
        <v>-700</v>
      </c>
      <c r="P48" s="103">
        <v>-700</v>
      </c>
      <c r="Q48" s="103">
        <v>-700</v>
      </c>
      <c r="R48" s="103">
        <v>-700</v>
      </c>
      <c r="S48" s="103">
        <v>-700</v>
      </c>
      <c r="T48" s="103">
        <v>-700</v>
      </c>
      <c r="U48" s="103">
        <v>-700</v>
      </c>
      <c r="V48" s="103">
        <v>-700</v>
      </c>
      <c r="W48" s="103">
        <v>-700</v>
      </c>
      <c r="X48" s="103">
        <v>-700</v>
      </c>
      <c r="Y48" s="103">
        <v>-700</v>
      </c>
      <c r="Z48" s="103">
        <v>-700</v>
      </c>
      <c r="AA48" s="103">
        <v>-700</v>
      </c>
      <c r="AB48" s="103">
        <v>-700</v>
      </c>
      <c r="AC48" s="103">
        <v>-700</v>
      </c>
      <c r="AD48" s="103">
        <v>-700</v>
      </c>
    </row>
    <row r="49" spans="2:33" x14ac:dyDescent="0.2">
      <c r="B49" s="19" t="s">
        <v>43</v>
      </c>
      <c r="C49" t="s">
        <v>37</v>
      </c>
      <c r="E49" s="2">
        <v>0</v>
      </c>
      <c r="F49" s="103">
        <v>-300</v>
      </c>
      <c r="G49" s="103">
        <v>-300</v>
      </c>
      <c r="H49" s="103">
        <v>-300</v>
      </c>
      <c r="I49" s="103">
        <v>-300</v>
      </c>
      <c r="J49" s="103">
        <v>-300</v>
      </c>
      <c r="K49" s="103">
        <v>-300</v>
      </c>
      <c r="L49" s="103">
        <v>-300</v>
      </c>
      <c r="M49" s="103">
        <v>-300</v>
      </c>
      <c r="N49" s="103">
        <v>-300</v>
      </c>
      <c r="O49" s="103">
        <v>-300</v>
      </c>
      <c r="P49" s="103">
        <v>-300</v>
      </c>
      <c r="Q49" s="103">
        <v>-300</v>
      </c>
      <c r="R49" s="103">
        <v>-300</v>
      </c>
      <c r="S49" s="103">
        <v>-300</v>
      </c>
      <c r="T49" s="103">
        <v>-300</v>
      </c>
      <c r="U49" s="103">
        <v>-300</v>
      </c>
      <c r="V49" s="103">
        <v>-300</v>
      </c>
      <c r="W49" s="103">
        <v>-300</v>
      </c>
      <c r="X49" s="103">
        <v>-300</v>
      </c>
      <c r="Y49" s="103">
        <v>-300</v>
      </c>
      <c r="Z49" s="103">
        <v>-300</v>
      </c>
      <c r="AA49" s="103">
        <v>-300</v>
      </c>
      <c r="AB49" s="103">
        <v>-300</v>
      </c>
      <c r="AC49" s="103">
        <v>-300</v>
      </c>
      <c r="AD49" s="103">
        <v>-300</v>
      </c>
    </row>
    <row r="50" spans="2:33" x14ac:dyDescent="0.2">
      <c r="B50" s="19" t="s">
        <v>45</v>
      </c>
      <c r="C50" t="s">
        <v>107</v>
      </c>
      <c r="E50" s="2">
        <v>0</v>
      </c>
      <c r="F50" s="103">
        <v>-2000</v>
      </c>
      <c r="G50" s="103">
        <v>-2000</v>
      </c>
      <c r="H50" s="103">
        <v>-2000</v>
      </c>
      <c r="I50" s="103">
        <v>-2000</v>
      </c>
      <c r="J50" s="103">
        <v>-2000</v>
      </c>
      <c r="K50" s="103">
        <v>-2000</v>
      </c>
      <c r="L50" s="103">
        <v>-2000</v>
      </c>
      <c r="M50" s="103">
        <v>-2000</v>
      </c>
      <c r="N50" s="103">
        <v>-2000</v>
      </c>
      <c r="O50" s="103">
        <v>-2000</v>
      </c>
      <c r="P50" s="103">
        <v>-2000</v>
      </c>
      <c r="Q50" s="103">
        <v>-2000</v>
      </c>
      <c r="R50" s="103">
        <v>-2000</v>
      </c>
      <c r="S50" s="103">
        <v>-2000</v>
      </c>
      <c r="T50" s="103">
        <v>-2000</v>
      </c>
      <c r="U50" s="103">
        <v>-2000</v>
      </c>
      <c r="V50" s="103">
        <v>-2000</v>
      </c>
      <c r="W50" s="103">
        <v>-2500</v>
      </c>
      <c r="X50" s="103">
        <v>-2500</v>
      </c>
      <c r="Y50" s="103">
        <v>-2500</v>
      </c>
      <c r="Z50" s="103">
        <v>-2500</v>
      </c>
      <c r="AA50" s="103">
        <v>-2500</v>
      </c>
      <c r="AB50" s="103">
        <v>-2500</v>
      </c>
      <c r="AC50" s="103">
        <v>-2500</v>
      </c>
      <c r="AD50" s="103">
        <v>-2500</v>
      </c>
    </row>
    <row r="51" spans="2:33" x14ac:dyDescent="0.2">
      <c r="B51" s="19" t="s">
        <v>44</v>
      </c>
      <c r="C51" t="s">
        <v>88</v>
      </c>
      <c r="E51" s="2">
        <v>0</v>
      </c>
      <c r="F51" s="106">
        <v>-1000</v>
      </c>
      <c r="G51" s="106">
        <v>-1000</v>
      </c>
      <c r="H51" s="106">
        <v>-1000</v>
      </c>
      <c r="I51" s="106">
        <v>-1000</v>
      </c>
      <c r="J51" s="106">
        <v>-1000</v>
      </c>
      <c r="K51" s="106">
        <v>-1000</v>
      </c>
      <c r="L51" s="106">
        <v>-1000</v>
      </c>
      <c r="M51" s="106">
        <v>-1000</v>
      </c>
      <c r="N51" s="106">
        <v>-1000</v>
      </c>
      <c r="O51" s="106">
        <v>-1000</v>
      </c>
      <c r="P51" s="106">
        <v>-1000</v>
      </c>
      <c r="Q51" s="106">
        <v>-1000</v>
      </c>
      <c r="R51" s="106">
        <v>-1000</v>
      </c>
      <c r="S51" s="106">
        <v>-1000</v>
      </c>
      <c r="T51" s="106">
        <v>-1000</v>
      </c>
      <c r="U51" s="106">
        <v>-1000</v>
      </c>
      <c r="V51" s="106">
        <v>-1000</v>
      </c>
      <c r="W51" s="106">
        <v>-1000</v>
      </c>
      <c r="X51" s="106">
        <v>-1000</v>
      </c>
      <c r="Y51" s="106">
        <v>-1000</v>
      </c>
      <c r="Z51" s="106">
        <v>-1000</v>
      </c>
      <c r="AA51" s="106">
        <v>-1000</v>
      </c>
      <c r="AB51" s="106">
        <v>-1000</v>
      </c>
      <c r="AC51" s="106">
        <v>-1000</v>
      </c>
      <c r="AD51" s="106">
        <v>-1000</v>
      </c>
    </row>
    <row r="52" spans="2:33" x14ac:dyDescent="0.2">
      <c r="E52" s="2">
        <v>0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 spans="2:33" x14ac:dyDescent="0.2">
      <c r="E53" s="2">
        <v>0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spans="2:33" x14ac:dyDescent="0.2">
      <c r="E54" s="2">
        <v>0</v>
      </c>
      <c r="F54" s="38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spans="2:33" x14ac:dyDescent="0.2">
      <c r="E55" s="2"/>
      <c r="F55" s="38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spans="2:33" ht="12.75" thickBot="1" x14ac:dyDescent="0.25">
      <c r="C56" s="23" t="s">
        <v>14</v>
      </c>
      <c r="D56" s="23"/>
      <c r="E56" s="24"/>
      <c r="F56" s="113">
        <f>SUM(F28:F55)-F38</f>
        <v>-22795.919999999998</v>
      </c>
      <c r="G56" s="107">
        <f>SUM(G28:G55)-G38</f>
        <v>-23393</v>
      </c>
      <c r="H56" s="107">
        <f t="shared" ref="H56:AG56" si="10">SUM(H28:H55)-H38</f>
        <v>-29659</v>
      </c>
      <c r="I56" s="107">
        <f t="shared" si="10"/>
        <v>-29659</v>
      </c>
      <c r="J56" s="107">
        <f t="shared" si="10"/>
        <v>-29659</v>
      </c>
      <c r="K56" s="107">
        <f t="shared" si="10"/>
        <v>-31109</v>
      </c>
      <c r="L56" s="107">
        <f t="shared" si="10"/>
        <v>-31109</v>
      </c>
      <c r="M56" s="107">
        <f t="shared" si="10"/>
        <v>-31109</v>
      </c>
      <c r="N56" s="107">
        <f t="shared" si="10"/>
        <v>-31109</v>
      </c>
      <c r="O56" s="107">
        <f t="shared" si="10"/>
        <v>-31109</v>
      </c>
      <c r="P56" s="107">
        <f t="shared" si="10"/>
        <v>-31109</v>
      </c>
      <c r="Q56" s="107">
        <f t="shared" si="10"/>
        <v>-31109</v>
      </c>
      <c r="R56" s="107">
        <f t="shared" si="10"/>
        <v>-31109</v>
      </c>
      <c r="S56" s="107">
        <f t="shared" si="10"/>
        <v>-31109</v>
      </c>
      <c r="T56" s="107">
        <f t="shared" si="10"/>
        <v>-31109</v>
      </c>
      <c r="U56" s="107">
        <f t="shared" si="10"/>
        <v>-31109</v>
      </c>
      <c r="V56" s="107">
        <f t="shared" si="10"/>
        <v>-31109</v>
      </c>
      <c r="W56" s="107">
        <f t="shared" si="10"/>
        <v>-32407</v>
      </c>
      <c r="X56" s="107">
        <f t="shared" si="10"/>
        <v>-32407</v>
      </c>
      <c r="Y56" s="107">
        <f t="shared" si="10"/>
        <v>-32407</v>
      </c>
      <c r="Z56" s="107">
        <f t="shared" si="10"/>
        <v>-32407</v>
      </c>
      <c r="AA56" s="107">
        <f t="shared" si="10"/>
        <v>-32407</v>
      </c>
      <c r="AB56" s="107">
        <f t="shared" si="10"/>
        <v>-32407</v>
      </c>
      <c r="AC56" s="107">
        <f t="shared" si="10"/>
        <v>-32407</v>
      </c>
      <c r="AD56" s="107">
        <f t="shared" si="10"/>
        <v>-32407</v>
      </c>
      <c r="AE56" s="107">
        <f t="shared" si="10"/>
        <v>0</v>
      </c>
      <c r="AF56" s="107">
        <f t="shared" si="10"/>
        <v>0</v>
      </c>
      <c r="AG56" s="107">
        <f t="shared" si="10"/>
        <v>0</v>
      </c>
    </row>
    <row r="57" spans="2:33" ht="12.75" thickBot="1" x14ac:dyDescent="0.25">
      <c r="C57" s="16"/>
      <c r="D57" s="16"/>
      <c r="E57" s="12"/>
      <c r="F57" s="114"/>
      <c r="G57" s="111"/>
      <c r="H57" s="111"/>
      <c r="I57" s="111"/>
      <c r="J57" s="115"/>
      <c r="K57" s="115"/>
      <c r="L57" s="115"/>
      <c r="M57" s="115"/>
      <c r="N57" s="115"/>
      <c r="O57" s="115"/>
      <c r="P57" s="115"/>
      <c r="Q57" s="115"/>
      <c r="R57" s="115"/>
      <c r="S57" s="115"/>
      <c r="T57" s="115"/>
      <c r="U57" s="108"/>
      <c r="V57" s="109"/>
      <c r="W57" s="109"/>
      <c r="X57" s="109"/>
      <c r="Y57" s="109"/>
      <c r="Z57" s="109"/>
      <c r="AA57" s="109"/>
      <c r="AB57" s="109"/>
      <c r="AC57" s="109"/>
      <c r="AD57" s="109"/>
      <c r="AE57" s="109"/>
      <c r="AF57" s="109"/>
      <c r="AG57" s="109"/>
    </row>
    <row r="58" spans="2:33" ht="12.75" thickBot="1" x14ac:dyDescent="0.25">
      <c r="B58" s="19" t="s">
        <v>47</v>
      </c>
      <c r="C58" s="22" t="s">
        <v>108</v>
      </c>
      <c r="D58" s="22"/>
      <c r="E58" s="22"/>
      <c r="F58" s="116">
        <f t="shared" ref="F58:AG58" si="11">F27+F56</f>
        <v>1334.9200000000019</v>
      </c>
      <c r="G58" s="112">
        <f t="shared" si="11"/>
        <v>2607</v>
      </c>
      <c r="H58" s="112">
        <f t="shared" si="11"/>
        <v>2341</v>
      </c>
      <c r="I58" s="112">
        <f t="shared" si="11"/>
        <v>2341</v>
      </c>
      <c r="J58" s="112">
        <f t="shared" si="11"/>
        <v>2341</v>
      </c>
      <c r="K58" s="112">
        <f t="shared" si="11"/>
        <v>891</v>
      </c>
      <c r="L58" s="112">
        <f t="shared" si="11"/>
        <v>891</v>
      </c>
      <c r="M58" s="112">
        <f t="shared" si="11"/>
        <v>891</v>
      </c>
      <c r="N58" s="112">
        <f t="shared" si="11"/>
        <v>891</v>
      </c>
      <c r="O58" s="112">
        <f t="shared" si="11"/>
        <v>891</v>
      </c>
      <c r="P58" s="112">
        <f t="shared" si="11"/>
        <v>891</v>
      </c>
      <c r="Q58" s="112">
        <f t="shared" si="11"/>
        <v>891</v>
      </c>
      <c r="R58" s="112">
        <f t="shared" si="11"/>
        <v>891</v>
      </c>
      <c r="S58" s="112">
        <f t="shared" si="11"/>
        <v>891</v>
      </c>
      <c r="T58" s="112">
        <f t="shared" si="11"/>
        <v>891</v>
      </c>
      <c r="U58" s="110">
        <f t="shared" si="11"/>
        <v>891</v>
      </c>
      <c r="V58" s="110">
        <f t="shared" si="11"/>
        <v>891</v>
      </c>
      <c r="W58" s="110">
        <f t="shared" si="11"/>
        <v>4593</v>
      </c>
      <c r="X58" s="110">
        <f t="shared" si="11"/>
        <v>4593</v>
      </c>
      <c r="Y58" s="110">
        <f t="shared" si="11"/>
        <v>4593</v>
      </c>
      <c r="Z58" s="110">
        <f t="shared" si="11"/>
        <v>4593</v>
      </c>
      <c r="AA58" s="110">
        <f t="shared" si="11"/>
        <v>4593</v>
      </c>
      <c r="AB58" s="110">
        <f t="shared" si="11"/>
        <v>4593</v>
      </c>
      <c r="AC58" s="110">
        <f t="shared" si="11"/>
        <v>4593</v>
      </c>
      <c r="AD58" s="110">
        <f t="shared" si="11"/>
        <v>4593</v>
      </c>
      <c r="AE58" s="110">
        <f t="shared" si="11"/>
        <v>0</v>
      </c>
      <c r="AF58" s="110">
        <f t="shared" si="11"/>
        <v>0</v>
      </c>
      <c r="AG58" s="110">
        <f t="shared" si="11"/>
        <v>0</v>
      </c>
    </row>
    <row r="59" spans="2:33" s="2" customFormat="1" ht="12.75" thickBot="1" x14ac:dyDescent="0.25">
      <c r="B59" s="49"/>
      <c r="C59" s="12"/>
      <c r="D59" s="12"/>
      <c r="E59" s="12"/>
      <c r="F59" s="117"/>
      <c r="G59" s="111"/>
      <c r="H59" s="111"/>
      <c r="I59" s="111"/>
      <c r="J59" s="111"/>
      <c r="K59" s="111"/>
      <c r="L59" s="111"/>
      <c r="M59" s="111"/>
      <c r="N59" s="111"/>
      <c r="O59" s="111"/>
      <c r="P59" s="111"/>
      <c r="Q59" s="111"/>
      <c r="R59" s="111"/>
      <c r="S59" s="111"/>
      <c r="T59" s="111"/>
      <c r="U59" s="111"/>
      <c r="V59" s="111"/>
      <c r="W59" s="111"/>
      <c r="X59" s="111"/>
      <c r="Y59" s="111"/>
      <c r="Z59" s="111"/>
      <c r="AA59" s="111"/>
      <c r="AB59" s="111"/>
      <c r="AC59" s="111"/>
      <c r="AD59" s="111"/>
      <c r="AE59" s="111"/>
      <c r="AF59" s="111"/>
      <c r="AG59" s="111"/>
    </row>
    <row r="60" spans="2:33" ht="12.75" thickBot="1" x14ac:dyDescent="0.25">
      <c r="B60" s="19" t="s">
        <v>48</v>
      </c>
      <c r="C60" s="22" t="s">
        <v>57</v>
      </c>
      <c r="D60" s="22"/>
      <c r="E60" s="22"/>
      <c r="F60" s="118">
        <f>E60+F58</f>
        <v>1334.9200000000019</v>
      </c>
      <c r="G60" s="112">
        <f t="shared" ref="G60:AG60" si="12">F60+G58</f>
        <v>3941.9200000000019</v>
      </c>
      <c r="H60" s="112">
        <f t="shared" si="12"/>
        <v>6282.9200000000019</v>
      </c>
      <c r="I60" s="112">
        <f t="shared" si="12"/>
        <v>8623.9200000000019</v>
      </c>
      <c r="J60" s="112">
        <f t="shared" si="12"/>
        <v>10964.920000000002</v>
      </c>
      <c r="K60" s="112">
        <f t="shared" si="12"/>
        <v>11855.920000000002</v>
      </c>
      <c r="L60" s="112">
        <f t="shared" si="12"/>
        <v>12746.920000000002</v>
      </c>
      <c r="M60" s="112">
        <f t="shared" si="12"/>
        <v>13637.920000000002</v>
      </c>
      <c r="N60" s="112">
        <f t="shared" si="12"/>
        <v>14528.920000000002</v>
      </c>
      <c r="O60" s="112">
        <f t="shared" si="12"/>
        <v>15419.920000000002</v>
      </c>
      <c r="P60" s="112">
        <f t="shared" si="12"/>
        <v>16310.920000000002</v>
      </c>
      <c r="Q60" s="112">
        <f t="shared" si="12"/>
        <v>17201.920000000002</v>
      </c>
      <c r="R60" s="112">
        <f t="shared" si="12"/>
        <v>18092.920000000002</v>
      </c>
      <c r="S60" s="112">
        <f t="shared" si="12"/>
        <v>18983.920000000002</v>
      </c>
      <c r="T60" s="112">
        <f t="shared" si="12"/>
        <v>19874.920000000002</v>
      </c>
      <c r="U60" s="112">
        <f t="shared" si="12"/>
        <v>20765.920000000002</v>
      </c>
      <c r="V60" s="112">
        <f t="shared" si="12"/>
        <v>21656.920000000002</v>
      </c>
      <c r="W60" s="112">
        <f t="shared" si="12"/>
        <v>26249.920000000002</v>
      </c>
      <c r="X60" s="112">
        <f t="shared" si="12"/>
        <v>30842.920000000002</v>
      </c>
      <c r="Y60" s="112">
        <f t="shared" si="12"/>
        <v>35435.919999999998</v>
      </c>
      <c r="Z60" s="112">
        <f t="shared" si="12"/>
        <v>40028.92</v>
      </c>
      <c r="AA60" s="112">
        <f t="shared" si="12"/>
        <v>44621.919999999998</v>
      </c>
      <c r="AB60" s="112">
        <f t="shared" si="12"/>
        <v>49214.92</v>
      </c>
      <c r="AC60" s="112">
        <f t="shared" si="12"/>
        <v>53807.92</v>
      </c>
      <c r="AD60" s="112">
        <f t="shared" si="12"/>
        <v>58400.92</v>
      </c>
      <c r="AE60" s="112">
        <f t="shared" si="12"/>
        <v>58400.92</v>
      </c>
      <c r="AF60" s="112">
        <f t="shared" si="12"/>
        <v>58400.92</v>
      </c>
      <c r="AG60" s="112">
        <f t="shared" si="12"/>
        <v>58400.92</v>
      </c>
    </row>
    <row r="61" spans="2:33" ht="9.75" customHeight="1" x14ac:dyDescent="0.2">
      <c r="F61" s="104"/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3"/>
      <c r="V61" s="103"/>
      <c r="W61" s="103"/>
      <c r="X61" s="103"/>
      <c r="Y61" s="103"/>
      <c r="Z61" s="103"/>
      <c r="AA61" s="103"/>
      <c r="AB61" s="103"/>
      <c r="AC61" s="103"/>
      <c r="AD61" s="103"/>
      <c r="AE61" s="103"/>
      <c r="AF61" s="103"/>
      <c r="AG61" s="103"/>
    </row>
    <row r="62" spans="2:33" ht="12.75" thickBot="1" x14ac:dyDescent="0.25">
      <c r="B62" s="19" t="s">
        <v>56</v>
      </c>
      <c r="C62" s="22" t="s">
        <v>15</v>
      </c>
      <c r="D62" s="22"/>
      <c r="E62" s="22">
        <f>E9</f>
        <v>0</v>
      </c>
      <c r="F62" s="116">
        <f t="shared" ref="F62:U62" si="13">F9+F58</f>
        <v>1334.9200000000019</v>
      </c>
      <c r="G62" s="112">
        <f t="shared" si="13"/>
        <v>3941.9200000000019</v>
      </c>
      <c r="H62" s="112">
        <f t="shared" si="13"/>
        <v>6282.9200000000019</v>
      </c>
      <c r="I62" s="112">
        <f t="shared" si="13"/>
        <v>8623.9200000000019</v>
      </c>
      <c r="J62" s="112">
        <f t="shared" si="13"/>
        <v>10964.920000000002</v>
      </c>
      <c r="K62" s="112">
        <f t="shared" si="13"/>
        <v>11855.920000000002</v>
      </c>
      <c r="L62" s="112">
        <f t="shared" si="13"/>
        <v>12746.920000000002</v>
      </c>
      <c r="M62" s="112">
        <f t="shared" si="13"/>
        <v>13637.920000000002</v>
      </c>
      <c r="N62" s="112">
        <f t="shared" si="13"/>
        <v>14528.920000000002</v>
      </c>
      <c r="O62" s="112">
        <f t="shared" si="13"/>
        <v>15419.920000000002</v>
      </c>
      <c r="P62" s="112">
        <f t="shared" si="13"/>
        <v>16310.920000000002</v>
      </c>
      <c r="Q62" s="112">
        <f t="shared" si="13"/>
        <v>17201.920000000002</v>
      </c>
      <c r="R62" s="112">
        <f t="shared" si="13"/>
        <v>18092.920000000002</v>
      </c>
      <c r="S62" s="112">
        <f t="shared" si="13"/>
        <v>18983.920000000002</v>
      </c>
      <c r="T62" s="112">
        <f t="shared" si="13"/>
        <v>19874.920000000002</v>
      </c>
      <c r="U62" s="112">
        <f t="shared" si="13"/>
        <v>20765.920000000002</v>
      </c>
      <c r="V62" s="112">
        <f t="shared" ref="V62:AG62" si="14">V9+V58</f>
        <v>21656.920000000002</v>
      </c>
      <c r="W62" s="112">
        <f t="shared" si="14"/>
        <v>26249.920000000002</v>
      </c>
      <c r="X62" s="112">
        <f t="shared" si="14"/>
        <v>30842.920000000002</v>
      </c>
      <c r="Y62" s="112">
        <f t="shared" si="14"/>
        <v>35435.919999999998</v>
      </c>
      <c r="Z62" s="112">
        <f t="shared" si="14"/>
        <v>40028.92</v>
      </c>
      <c r="AA62" s="112">
        <f t="shared" si="14"/>
        <v>44621.919999999998</v>
      </c>
      <c r="AB62" s="112">
        <f t="shared" si="14"/>
        <v>49214.92</v>
      </c>
      <c r="AC62" s="112">
        <f t="shared" si="14"/>
        <v>53807.92</v>
      </c>
      <c r="AD62" s="112">
        <f t="shared" si="14"/>
        <v>58400.92</v>
      </c>
      <c r="AE62" s="112">
        <f t="shared" si="14"/>
        <v>58400.92</v>
      </c>
      <c r="AF62" s="112">
        <f t="shared" si="14"/>
        <v>58400.92</v>
      </c>
      <c r="AG62" s="112">
        <f t="shared" si="14"/>
        <v>58400.92</v>
      </c>
    </row>
    <row r="63" spans="2:33" x14ac:dyDescent="0.2">
      <c r="F63" s="103"/>
      <c r="G63" s="103"/>
      <c r="H63" s="103"/>
      <c r="I63" s="103"/>
      <c r="J63" s="103"/>
      <c r="K63" s="103"/>
      <c r="L63" s="103"/>
      <c r="M63" s="103"/>
      <c r="N63" s="103"/>
      <c r="O63" s="103"/>
      <c r="P63" s="103"/>
      <c r="Q63" s="103"/>
      <c r="R63" s="103"/>
      <c r="S63" s="103"/>
      <c r="T63" s="103"/>
      <c r="U63" s="103"/>
      <c r="V63" s="103"/>
      <c r="W63" s="103"/>
      <c r="X63" s="103"/>
      <c r="Y63" s="103"/>
      <c r="Z63" s="103"/>
      <c r="AA63" s="103"/>
      <c r="AB63" s="103"/>
      <c r="AC63" s="103"/>
      <c r="AD63" s="103"/>
      <c r="AE63" s="103"/>
      <c r="AF63" s="103"/>
      <c r="AG63" s="103"/>
    </row>
    <row r="64" spans="2:33" x14ac:dyDescent="0.2">
      <c r="J64" t="s">
        <v>49</v>
      </c>
    </row>
    <row r="65" spans="2:33" x14ac:dyDescent="0.2">
      <c r="H65" t="s">
        <v>49</v>
      </c>
    </row>
    <row r="67" spans="2:33" ht="15.75" customHeight="1" x14ac:dyDescent="0.2"/>
    <row r="68" spans="2:33" ht="15.75" customHeight="1" x14ac:dyDescent="0.2"/>
    <row r="69" spans="2:33" x14ac:dyDescent="0.2">
      <c r="C69" s="59" t="s">
        <v>16</v>
      </c>
      <c r="D69" s="60"/>
    </row>
    <row r="70" spans="2:33" x14ac:dyDescent="0.2">
      <c r="B70" s="19" t="s">
        <v>23</v>
      </c>
      <c r="C70" t="s">
        <v>50</v>
      </c>
      <c r="E70">
        <v>0</v>
      </c>
      <c r="F70" s="36"/>
    </row>
    <row r="71" spans="2:33" x14ac:dyDescent="0.2">
      <c r="B71" s="19" t="s">
        <v>30</v>
      </c>
      <c r="C71" s="2" t="s">
        <v>3</v>
      </c>
      <c r="E71" s="2">
        <v>0</v>
      </c>
      <c r="F71" s="38"/>
      <c r="G71" s="2"/>
      <c r="H71" s="2"/>
      <c r="I71" s="2"/>
      <c r="J71" s="2"/>
      <c r="K71" s="2"/>
      <c r="L71" s="2"/>
      <c r="M71" s="11"/>
      <c r="N71" s="2"/>
      <c r="O71" s="2"/>
      <c r="P71" s="2"/>
      <c r="Q71" s="2"/>
      <c r="R71" s="2"/>
      <c r="S71" s="2"/>
      <c r="T71" s="2"/>
      <c r="U71" s="2"/>
    </row>
    <row r="72" spans="2:33" x14ac:dyDescent="0.2">
      <c r="B72" s="19" t="s">
        <v>47</v>
      </c>
      <c r="C72" s="17" t="s">
        <v>8</v>
      </c>
      <c r="E72" s="2">
        <v>0</v>
      </c>
      <c r="F72" s="38"/>
      <c r="G72" s="2"/>
      <c r="H72" s="2"/>
      <c r="I72" s="2"/>
      <c r="J72" s="2"/>
      <c r="K72" s="2"/>
      <c r="L72" s="2"/>
      <c r="M72" s="11"/>
      <c r="N72" s="11"/>
      <c r="O72" s="11"/>
      <c r="P72" s="11"/>
      <c r="Q72" s="11"/>
      <c r="R72" s="11"/>
      <c r="S72" s="11"/>
      <c r="T72" s="11"/>
      <c r="U72" s="11"/>
    </row>
    <row r="73" spans="2:33" x14ac:dyDescent="0.2">
      <c r="B73" s="19" t="s">
        <v>48</v>
      </c>
      <c r="C73" s="6" t="s">
        <v>10</v>
      </c>
      <c r="E73" s="63">
        <v>0</v>
      </c>
      <c r="F73" s="38"/>
      <c r="G73" s="2"/>
      <c r="H73" s="2"/>
      <c r="I73" s="2"/>
      <c r="J73" s="2"/>
      <c r="K73" s="2"/>
      <c r="L73" s="2"/>
      <c r="M73" s="11"/>
      <c r="N73" s="2"/>
      <c r="O73" s="2"/>
      <c r="P73" s="2"/>
      <c r="Q73" s="2"/>
      <c r="R73" s="2"/>
      <c r="S73" s="2"/>
      <c r="T73" s="2"/>
      <c r="U73" s="2"/>
    </row>
    <row r="74" spans="2:33" x14ac:dyDescent="0.2">
      <c r="B74" s="19" t="s">
        <v>56</v>
      </c>
      <c r="C74" s="25" t="s">
        <v>35</v>
      </c>
      <c r="E74" s="63">
        <v>0</v>
      </c>
      <c r="F74" s="38"/>
      <c r="G74" s="2"/>
      <c r="H74" s="2"/>
      <c r="I74" s="2"/>
      <c r="J74" s="2"/>
      <c r="K74" s="2"/>
      <c r="L74" s="2"/>
      <c r="M74" s="11"/>
      <c r="N74" s="2"/>
      <c r="O74" s="2"/>
      <c r="P74" s="2"/>
      <c r="Q74" s="2"/>
      <c r="R74" s="2"/>
      <c r="S74" s="2"/>
      <c r="T74" s="2"/>
      <c r="U74" s="2"/>
      <c r="V74" t="s">
        <v>49</v>
      </c>
    </row>
    <row r="75" spans="2:33" x14ac:dyDescent="0.2">
      <c r="B75" s="19" t="s">
        <v>59</v>
      </c>
      <c r="C75" s="25" t="s">
        <v>32</v>
      </c>
      <c r="E75" s="63">
        <v>0</v>
      </c>
      <c r="F75" s="38"/>
      <c r="G75" s="2"/>
      <c r="H75" s="2"/>
      <c r="I75" s="2"/>
      <c r="J75" s="2"/>
      <c r="K75" s="2"/>
      <c r="L75" s="2"/>
      <c r="M75" s="11"/>
      <c r="N75" s="2"/>
      <c r="O75" s="2"/>
      <c r="P75" s="2"/>
      <c r="Q75" s="2"/>
      <c r="R75" s="2"/>
      <c r="S75" s="2"/>
      <c r="T75" s="2"/>
      <c r="U75" s="2"/>
    </row>
    <row r="76" spans="2:33" x14ac:dyDescent="0.2">
      <c r="B76" s="19" t="s">
        <v>60</v>
      </c>
      <c r="C76" s="25"/>
      <c r="E76" s="63">
        <v>0</v>
      </c>
      <c r="F76" s="38"/>
      <c r="G76" s="2"/>
      <c r="H76" s="2"/>
      <c r="I76" s="2"/>
      <c r="J76" s="2"/>
      <c r="K76" s="2"/>
      <c r="L76" s="2"/>
      <c r="M76" s="11"/>
      <c r="N76" s="2"/>
      <c r="O76" s="2"/>
      <c r="P76" s="2"/>
      <c r="Q76" s="2"/>
      <c r="R76" s="2"/>
      <c r="S76" s="2"/>
      <c r="T76" s="2"/>
      <c r="U76" s="2"/>
    </row>
    <row r="77" spans="2:33" x14ac:dyDescent="0.2">
      <c r="C77" s="25"/>
      <c r="E77" s="2"/>
      <c r="F77" s="38"/>
      <c r="G77" s="2"/>
      <c r="H77" s="2"/>
      <c r="I77" s="2"/>
      <c r="J77" s="2"/>
      <c r="K77" s="2"/>
      <c r="L77" s="2"/>
      <c r="M77" s="11"/>
      <c r="N77" s="2"/>
      <c r="O77" s="2"/>
      <c r="P77" s="2"/>
      <c r="Q77" s="2"/>
      <c r="R77" s="2"/>
      <c r="S77" s="2"/>
      <c r="T77" s="2"/>
      <c r="U77" s="2"/>
    </row>
    <row r="78" spans="2:33" ht="12.75" thickBot="1" x14ac:dyDescent="0.25">
      <c r="C78" s="22" t="s">
        <v>17</v>
      </c>
      <c r="D78" s="22"/>
      <c r="E78" s="22"/>
      <c r="F78" s="42">
        <f t="shared" ref="F78:U78" si="15">SUM(F70:F77)</f>
        <v>0</v>
      </c>
      <c r="G78" s="22">
        <f t="shared" si="15"/>
        <v>0</v>
      </c>
      <c r="H78" s="22">
        <f t="shared" si="15"/>
        <v>0</v>
      </c>
      <c r="I78" s="22">
        <f t="shared" si="15"/>
        <v>0</v>
      </c>
      <c r="J78" s="22">
        <f t="shared" si="15"/>
        <v>0</v>
      </c>
      <c r="K78" s="22">
        <f t="shared" si="15"/>
        <v>0</v>
      </c>
      <c r="L78" s="22">
        <f t="shared" si="15"/>
        <v>0</v>
      </c>
      <c r="M78" s="22">
        <f t="shared" si="15"/>
        <v>0</v>
      </c>
      <c r="N78" s="22">
        <f t="shared" si="15"/>
        <v>0</v>
      </c>
      <c r="O78" s="22">
        <f t="shared" si="15"/>
        <v>0</v>
      </c>
      <c r="P78" s="22">
        <f t="shared" si="15"/>
        <v>0</v>
      </c>
      <c r="Q78" s="22">
        <f t="shared" si="15"/>
        <v>0</v>
      </c>
      <c r="R78" s="22">
        <f t="shared" si="15"/>
        <v>0</v>
      </c>
      <c r="S78" s="22">
        <f t="shared" si="15"/>
        <v>0</v>
      </c>
      <c r="T78" s="22">
        <f t="shared" si="15"/>
        <v>0</v>
      </c>
      <c r="U78" s="22">
        <f t="shared" si="15"/>
        <v>0</v>
      </c>
      <c r="V78" s="22">
        <f t="shared" ref="V78" si="16">SUM(V70:V77)</f>
        <v>0</v>
      </c>
      <c r="W78" s="22">
        <f t="shared" ref="W78" si="17">SUM(W70:W77)</f>
        <v>0</v>
      </c>
      <c r="X78" s="22">
        <f t="shared" ref="X78" si="18">SUM(X70:X77)</f>
        <v>0</v>
      </c>
      <c r="Y78" s="22">
        <f t="shared" ref="Y78" si="19">SUM(Y70:Y77)</f>
        <v>0</v>
      </c>
      <c r="Z78" s="22">
        <f t="shared" ref="Z78" si="20">SUM(Z70:Z77)</f>
        <v>0</v>
      </c>
      <c r="AA78" s="22">
        <f t="shared" ref="AA78" si="21">SUM(AA70:AA77)</f>
        <v>0</v>
      </c>
      <c r="AB78" s="22">
        <f t="shared" ref="AB78" si="22">SUM(AB70:AB77)</f>
        <v>0</v>
      </c>
      <c r="AC78" s="22">
        <f t="shared" ref="AC78" si="23">SUM(AC70:AC77)</f>
        <v>0</v>
      </c>
      <c r="AD78" s="22">
        <f t="shared" ref="AD78" si="24">SUM(AD70:AD77)</f>
        <v>0</v>
      </c>
      <c r="AE78" s="22">
        <f t="shared" ref="AE78" si="25">SUM(AE70:AE77)</f>
        <v>0</v>
      </c>
      <c r="AF78" s="22">
        <f t="shared" ref="AF78" si="26">SUM(AF70:AF77)</f>
        <v>0</v>
      </c>
      <c r="AG78" s="22">
        <f t="shared" ref="AG78" si="27">SUM(AG70:AG77)</f>
        <v>0</v>
      </c>
    </row>
    <row r="79" spans="2:33" x14ac:dyDescent="0.2">
      <c r="C79" s="26" t="s">
        <v>18</v>
      </c>
      <c r="D79" s="27"/>
      <c r="E79" s="27">
        <f>E62</f>
        <v>0</v>
      </c>
      <c r="F79" s="27">
        <f t="shared" ref="F79:AG79" si="28">F62+F78</f>
        <v>1334.9200000000019</v>
      </c>
      <c r="G79" s="27">
        <f t="shared" si="28"/>
        <v>3941.9200000000019</v>
      </c>
      <c r="H79" s="27">
        <f t="shared" si="28"/>
        <v>6282.9200000000019</v>
      </c>
      <c r="I79" s="27">
        <f t="shared" si="28"/>
        <v>8623.9200000000019</v>
      </c>
      <c r="J79" s="27">
        <f t="shared" si="28"/>
        <v>10964.920000000002</v>
      </c>
      <c r="K79" s="27">
        <f t="shared" si="28"/>
        <v>11855.920000000002</v>
      </c>
      <c r="L79" s="27">
        <f t="shared" si="28"/>
        <v>12746.920000000002</v>
      </c>
      <c r="M79" s="27">
        <f t="shared" si="28"/>
        <v>13637.920000000002</v>
      </c>
      <c r="N79" s="27">
        <f t="shared" si="28"/>
        <v>14528.920000000002</v>
      </c>
      <c r="O79" s="27">
        <f t="shared" si="28"/>
        <v>15419.920000000002</v>
      </c>
      <c r="P79" s="27">
        <f t="shared" si="28"/>
        <v>16310.920000000002</v>
      </c>
      <c r="Q79" s="27">
        <f t="shared" si="28"/>
        <v>17201.920000000002</v>
      </c>
      <c r="R79" s="27">
        <f t="shared" si="28"/>
        <v>18092.920000000002</v>
      </c>
      <c r="S79" s="27">
        <f t="shared" si="28"/>
        <v>18983.920000000002</v>
      </c>
      <c r="T79" s="27">
        <f t="shared" si="28"/>
        <v>19874.920000000002</v>
      </c>
      <c r="U79" s="27">
        <f t="shared" si="28"/>
        <v>20765.920000000002</v>
      </c>
      <c r="V79" s="27">
        <f t="shared" si="28"/>
        <v>21656.920000000002</v>
      </c>
      <c r="W79" s="27">
        <f t="shared" si="28"/>
        <v>26249.920000000002</v>
      </c>
      <c r="X79" s="27">
        <f t="shared" si="28"/>
        <v>30842.920000000002</v>
      </c>
      <c r="Y79" s="27">
        <f t="shared" si="28"/>
        <v>35435.919999999998</v>
      </c>
      <c r="Z79" s="27">
        <f t="shared" si="28"/>
        <v>40028.92</v>
      </c>
      <c r="AA79" s="27">
        <f t="shared" si="28"/>
        <v>44621.919999999998</v>
      </c>
      <c r="AB79" s="27">
        <f t="shared" si="28"/>
        <v>49214.92</v>
      </c>
      <c r="AC79" s="27">
        <f t="shared" si="28"/>
        <v>53807.92</v>
      </c>
      <c r="AD79" s="27">
        <f t="shared" si="28"/>
        <v>58400.92</v>
      </c>
      <c r="AE79" s="27">
        <f t="shared" si="28"/>
        <v>58400.92</v>
      </c>
      <c r="AF79" s="27">
        <f t="shared" si="28"/>
        <v>58400.92</v>
      </c>
      <c r="AG79" s="27">
        <f t="shared" si="28"/>
        <v>58400.92</v>
      </c>
    </row>
    <row r="80" spans="2:33" x14ac:dyDescent="0.2">
      <c r="F80" t="s">
        <v>49</v>
      </c>
    </row>
  </sheetData>
  <mergeCells count="3">
    <mergeCell ref="F4:J4"/>
    <mergeCell ref="K4:V4"/>
    <mergeCell ref="W4:AD4"/>
  </mergeCells>
  <phoneticPr fontId="28" type="noConversion"/>
  <pageMargins left="0.59055118110236227" right="0.59055118110236227" top="0.98425196850393704" bottom="0.98425196850393704" header="0.51181102362204722" footer="0.51181102362204722"/>
  <pageSetup paperSize="9" scale="46" orientation="landscape" r:id="rId1"/>
  <headerFooter>
    <oddFooter>&amp;L&amp;B Vertraulich&amp;B&amp;C&amp;D&amp;RSeite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AG67"/>
  <sheetViews>
    <sheetView zoomScaleNormal="100" workbookViewId="0">
      <pane xSplit="4" ySplit="7" topLeftCell="M32" activePane="bottomRight" state="frozen"/>
      <selection pane="topRight" activeCell="E1" sqref="E1"/>
      <selection pane="bottomLeft" activeCell="A8" sqref="A8"/>
      <selection pane="bottomRight" activeCell="C69" sqref="C69"/>
    </sheetView>
  </sheetViews>
  <sheetFormatPr baseColWidth="10" defaultColWidth="10.7109375" defaultRowHeight="12" x14ac:dyDescent="0.2"/>
  <cols>
    <col min="1" max="1" width="3.140625" customWidth="1"/>
    <col min="2" max="2" width="5.140625" customWidth="1"/>
    <col min="3" max="3" width="20.85546875" customWidth="1"/>
    <col min="4" max="4" width="11.85546875" customWidth="1"/>
    <col min="5" max="5" width="12.5703125" bestFit="1" customWidth="1"/>
    <col min="6" max="6" width="12.42578125" customWidth="1"/>
    <col min="7" max="9" width="9.7109375" bestFit="1" customWidth="1"/>
    <col min="10" max="10" width="10" bestFit="1" customWidth="1"/>
    <col min="11" max="11" width="9.7109375" bestFit="1" customWidth="1"/>
    <col min="12" max="13" width="10" bestFit="1" customWidth="1"/>
    <col min="14" max="16" width="9.7109375" bestFit="1" customWidth="1"/>
    <col min="17" max="18" width="10" bestFit="1" customWidth="1"/>
    <col min="19" max="19" width="9.7109375" bestFit="1" customWidth="1"/>
    <col min="20" max="21" width="10" bestFit="1" customWidth="1"/>
  </cols>
  <sheetData>
    <row r="2" spans="2:33" ht="14.25" x14ac:dyDescent="0.35">
      <c r="B2" s="48" t="s">
        <v>61</v>
      </c>
      <c r="C2" s="47"/>
      <c r="K2" s="137">
        <v>2021</v>
      </c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40">
        <v>2022</v>
      </c>
      <c r="X2" s="140"/>
      <c r="Y2" s="140"/>
      <c r="Z2" s="140"/>
      <c r="AA2" s="140"/>
      <c r="AB2" s="140"/>
      <c r="AC2" s="140"/>
      <c r="AD2" s="140"/>
      <c r="AE2" s="140"/>
      <c r="AF2" s="140"/>
      <c r="AG2" s="140"/>
    </row>
    <row r="3" spans="2:33" s="2" customFormat="1" x14ac:dyDescent="0.2"/>
    <row r="4" spans="2:33" x14ac:dyDescent="0.2">
      <c r="B4" s="49"/>
      <c r="E4" s="32" t="s">
        <v>52</v>
      </c>
      <c r="F4" s="73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  <c r="AA4" s="75"/>
      <c r="AB4" s="75"/>
      <c r="AC4" s="75"/>
      <c r="AD4" s="75"/>
      <c r="AE4" s="75"/>
      <c r="AF4" s="75"/>
      <c r="AG4" s="75"/>
    </row>
    <row r="5" spans="2:33" ht="24" x14ac:dyDescent="0.2">
      <c r="B5" s="49"/>
      <c r="C5" s="13"/>
      <c r="D5" s="1"/>
      <c r="E5" s="32" t="s">
        <v>53</v>
      </c>
      <c r="F5" s="35" t="str">
        <f>'PLAN Zahlen'!F7</f>
        <v>August</v>
      </c>
      <c r="G5" s="28" t="str">
        <f>'PLAN Zahlen'!G7</f>
        <v>September</v>
      </c>
      <c r="H5" s="28" t="str">
        <f>'PLAN Zahlen'!H7</f>
        <v>Oktober</v>
      </c>
      <c r="I5" s="28" t="str">
        <f>'PLAN Zahlen'!I7</f>
        <v>November</v>
      </c>
      <c r="J5" s="28" t="str">
        <f>'PLAN Zahlen'!J7</f>
        <v>Dezember</v>
      </c>
      <c r="K5" s="28" t="str">
        <f>'PLAN Zahlen'!K7</f>
        <v>Januar</v>
      </c>
      <c r="L5" s="28" t="str">
        <f>'PLAN Zahlen'!L7</f>
        <v>Februar</v>
      </c>
      <c r="M5" s="28" t="str">
        <f>'PLAN Zahlen'!M7</f>
        <v>März</v>
      </c>
      <c r="N5" s="28" t="str">
        <f>'PLAN Zahlen'!N7</f>
        <v>April</v>
      </c>
      <c r="O5" s="28" t="str">
        <f>'PLAN Zahlen'!O7</f>
        <v>Mai</v>
      </c>
      <c r="P5" s="28" t="str">
        <f>'PLAN Zahlen'!P7</f>
        <v>Juni</v>
      </c>
      <c r="Q5" s="28" t="str">
        <f>'PLAN Zahlen'!Q7</f>
        <v>Juli</v>
      </c>
      <c r="R5" s="28" t="str">
        <f>'PLAN Zahlen'!R7</f>
        <v>August</v>
      </c>
      <c r="S5" s="28" t="str">
        <f>'PLAN Zahlen'!S7</f>
        <v>September</v>
      </c>
      <c r="T5" s="28" t="str">
        <f>'PLAN Zahlen'!T7</f>
        <v>Oktober</v>
      </c>
      <c r="U5" s="28" t="str">
        <f>'PLAN Zahlen'!U7</f>
        <v>November</v>
      </c>
      <c r="V5" s="28" t="str">
        <f>'PLAN Zahlen'!V7</f>
        <v>Dezember</v>
      </c>
      <c r="W5" s="28" t="str">
        <f>'PLAN Zahlen'!W7</f>
        <v>Januar</v>
      </c>
      <c r="X5" s="28" t="str">
        <f>'PLAN Zahlen'!X7</f>
        <v>Februar</v>
      </c>
      <c r="Y5" s="28" t="str">
        <f>'PLAN Zahlen'!Y7</f>
        <v>März</v>
      </c>
      <c r="Z5" s="28" t="str">
        <f>'PLAN Zahlen'!Z7</f>
        <v>April</v>
      </c>
      <c r="AA5" s="28" t="str">
        <f>'PLAN Zahlen'!AA7</f>
        <v>Mai</v>
      </c>
      <c r="AB5" s="28" t="str">
        <f>'PLAN Zahlen'!AB7</f>
        <v>Juni</v>
      </c>
      <c r="AC5" s="28" t="str">
        <f>'PLAN Zahlen'!AC7</f>
        <v>Juli</v>
      </c>
      <c r="AD5" s="28" t="str">
        <f>'PLAN Zahlen'!AD7</f>
        <v>August</v>
      </c>
      <c r="AE5" s="28" t="s">
        <v>49</v>
      </c>
      <c r="AF5" s="28">
        <f>'PLAN Zahlen'!AF7</f>
        <v>0</v>
      </c>
      <c r="AG5" s="28">
        <f>'PLAN Zahlen'!AG7</f>
        <v>0</v>
      </c>
    </row>
    <row r="6" spans="2:33" ht="12.75" thickBot="1" x14ac:dyDescent="0.25">
      <c r="B6" s="49"/>
      <c r="C6" s="14"/>
      <c r="F6" s="36"/>
    </row>
    <row r="7" spans="2:33" ht="12.75" thickBot="1" x14ac:dyDescent="0.25">
      <c r="B7" s="49"/>
      <c r="C7" s="15" t="s">
        <v>0</v>
      </c>
      <c r="D7" s="9"/>
      <c r="E7" s="33">
        <f>'PLAN Zahlen'!E9</f>
        <v>0</v>
      </c>
      <c r="F7" s="37">
        <f>E60</f>
        <v>0</v>
      </c>
      <c r="G7" s="10">
        <f t="shared" ref="G7:AG7" si="0">F60</f>
        <v>0</v>
      </c>
      <c r="H7" s="10">
        <f t="shared" si="0"/>
        <v>0</v>
      </c>
      <c r="I7" s="10">
        <f t="shared" si="0"/>
        <v>0</v>
      </c>
      <c r="J7" s="10">
        <f t="shared" si="0"/>
        <v>0</v>
      </c>
      <c r="K7" s="10">
        <f t="shared" si="0"/>
        <v>0</v>
      </c>
      <c r="L7" s="10">
        <f t="shared" si="0"/>
        <v>0</v>
      </c>
      <c r="M7" s="10">
        <f t="shared" si="0"/>
        <v>0</v>
      </c>
      <c r="N7" s="10">
        <f t="shared" si="0"/>
        <v>44</v>
      </c>
      <c r="O7" s="10">
        <f t="shared" si="0"/>
        <v>16713.39</v>
      </c>
      <c r="P7" s="10">
        <f t="shared" si="0"/>
        <v>5076.5200000000004</v>
      </c>
      <c r="Q7" s="10">
        <f t="shared" si="0"/>
        <v>299.71999999999935</v>
      </c>
      <c r="R7" s="10">
        <f t="shared" si="0"/>
        <v>9554.4199999999983</v>
      </c>
      <c r="S7" s="10">
        <f t="shared" si="0"/>
        <v>13990.659999999996</v>
      </c>
      <c r="T7" s="10">
        <f t="shared" si="0"/>
        <v>11939.389999999996</v>
      </c>
      <c r="U7" s="10">
        <f t="shared" si="0"/>
        <v>18180.209999999995</v>
      </c>
      <c r="V7" s="10">
        <f t="shared" si="0"/>
        <v>16985.779999999995</v>
      </c>
      <c r="W7" s="10">
        <f t="shared" si="0"/>
        <v>-1809.6200000000063</v>
      </c>
      <c r="X7" s="10">
        <f t="shared" si="0"/>
        <v>-2226.8300000000054</v>
      </c>
      <c r="Y7" s="10">
        <f t="shared" si="0"/>
        <v>-2178.8300000000054</v>
      </c>
      <c r="Z7" s="10">
        <f t="shared" si="0"/>
        <v>-1811.8300000000054</v>
      </c>
      <c r="AA7" s="10">
        <f t="shared" si="0"/>
        <v>-1814.8300000000054</v>
      </c>
      <c r="AB7" s="10">
        <f t="shared" si="0"/>
        <v>-1487.8300000000054</v>
      </c>
      <c r="AC7" s="10">
        <f t="shared" si="0"/>
        <v>-464.71000000000276</v>
      </c>
      <c r="AD7" s="10">
        <f t="shared" si="0"/>
        <v>-1808.7100000000028</v>
      </c>
      <c r="AE7" s="10">
        <f t="shared" si="0"/>
        <v>12775.649999999994</v>
      </c>
      <c r="AF7" s="10">
        <f t="shared" si="0"/>
        <v>12775.649999999994</v>
      </c>
      <c r="AG7" s="10">
        <f t="shared" si="0"/>
        <v>12775.649999999994</v>
      </c>
    </row>
    <row r="8" spans="2:33" x14ac:dyDescent="0.2">
      <c r="B8" s="49"/>
      <c r="F8" s="36"/>
    </row>
    <row r="9" spans="2:33" x14ac:dyDescent="0.2">
      <c r="B9" s="49" t="s">
        <v>23</v>
      </c>
      <c r="C9" s="3" t="s">
        <v>1</v>
      </c>
      <c r="F9" s="36"/>
    </row>
    <row r="10" spans="2:33" x14ac:dyDescent="0.2">
      <c r="B10" s="49"/>
      <c r="C10" s="3"/>
      <c r="F10" s="36"/>
      <c r="L10" s="121"/>
      <c r="M10" s="121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</row>
    <row r="11" spans="2:33" x14ac:dyDescent="0.2">
      <c r="B11" s="49" t="str">
        <f>'PLAN Zahlen'!B13</f>
        <v>1.1.</v>
      </c>
      <c r="C11" s="5" t="str">
        <f>'PLAN Zahlen'!C13</f>
        <v>Neukunden (Leistung ab Insolvenzantrag)</v>
      </c>
      <c r="F11" s="36"/>
      <c r="L11" s="121"/>
      <c r="M11" s="121"/>
      <c r="N11" s="121"/>
      <c r="O11" s="121"/>
      <c r="P11" s="121">
        <v>447.44</v>
      </c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</row>
    <row r="12" spans="2:33" x14ac:dyDescent="0.2">
      <c r="B12" s="49">
        <f>'PLAN Zahlen'!B14</f>
        <v>0</v>
      </c>
      <c r="C12" s="5" t="str">
        <f>'PLAN Zahlen'!C14</f>
        <v xml:space="preserve">Kundeneinzahlungen </v>
      </c>
      <c r="E12">
        <v>0</v>
      </c>
      <c r="F12" s="36"/>
      <c r="L12" s="121"/>
      <c r="M12" s="121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</row>
    <row r="13" spans="2:33" x14ac:dyDescent="0.2">
      <c r="B13" s="49">
        <f>'PLAN Zahlen'!B15</f>
        <v>0</v>
      </c>
      <c r="C13" s="5" t="str">
        <f>'PLAN Zahlen'!C15</f>
        <v>Factoring</v>
      </c>
      <c r="E13">
        <v>0</v>
      </c>
      <c r="F13" s="36"/>
      <c r="L13" s="121"/>
      <c r="M13" s="121"/>
      <c r="N13" s="121"/>
      <c r="O13" s="121"/>
      <c r="P13" s="121"/>
      <c r="Q13" s="121"/>
      <c r="R13" s="121"/>
      <c r="S13" s="121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  <c r="AE13" s="121"/>
    </row>
    <row r="14" spans="2:33" x14ac:dyDescent="0.2">
      <c r="B14" s="49">
        <f>'PLAN Zahlen'!B16</f>
        <v>0</v>
      </c>
      <c r="C14" s="5" t="str">
        <f>'PLAN Zahlen'!C16</f>
        <v>Factoring (Sicherungseinbehalt)</v>
      </c>
      <c r="E14">
        <v>0</v>
      </c>
      <c r="F14" s="36"/>
      <c r="L14" s="121"/>
      <c r="M14" s="121"/>
      <c r="N14" s="121"/>
      <c r="O14" s="121"/>
      <c r="P14" s="121"/>
      <c r="Q14" s="121"/>
      <c r="R14" s="121"/>
      <c r="S14" s="121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2"/>
      <c r="AE14" s="121"/>
    </row>
    <row r="15" spans="2:33" x14ac:dyDescent="0.2">
      <c r="B15" s="49" t="str">
        <f>'PLAN Zahlen'!B17</f>
        <v>1.2.</v>
      </c>
      <c r="C15" s="5" t="str">
        <f>'PLAN Zahlen'!C17</f>
        <v>Altkunden (Leistung vor Insolvenzantrag)</v>
      </c>
      <c r="E15">
        <v>0</v>
      </c>
      <c r="F15" s="36">
        <v>0</v>
      </c>
      <c r="G15" s="36">
        <v>0</v>
      </c>
      <c r="H15" s="36">
        <v>0</v>
      </c>
      <c r="I15" s="36">
        <v>0</v>
      </c>
      <c r="J15" s="36">
        <v>0</v>
      </c>
      <c r="K15" s="36">
        <v>0</v>
      </c>
      <c r="L15" s="119">
        <v>0</v>
      </c>
      <c r="M15" s="119" t="s">
        <v>83</v>
      </c>
      <c r="N15" s="119">
        <v>0</v>
      </c>
      <c r="O15" s="121"/>
      <c r="P15" s="121" t="s">
        <v>83</v>
      </c>
      <c r="Q15" s="121">
        <v>11667.96</v>
      </c>
      <c r="R15" s="119">
        <v>15167.2</v>
      </c>
      <c r="S15" s="121">
        <f>15762+1999</f>
        <v>17761</v>
      </c>
      <c r="T15" s="122">
        <f>25013+1401</f>
        <v>26414</v>
      </c>
      <c r="U15" s="122">
        <v>28784.32</v>
      </c>
      <c r="V15" s="122">
        <v>24605</v>
      </c>
      <c r="W15" s="122">
        <f>6471+16340</f>
        <v>22811</v>
      </c>
      <c r="X15" s="122">
        <f>6286+11086</f>
        <v>17372</v>
      </c>
      <c r="Y15" s="122">
        <v>20495</v>
      </c>
      <c r="Z15" s="122">
        <v>22877</v>
      </c>
      <c r="AA15" s="122">
        <v>13093</v>
      </c>
      <c r="AB15" s="122">
        <v>24465</v>
      </c>
      <c r="AC15" s="122">
        <v>21400</v>
      </c>
      <c r="AD15" s="122">
        <v>24130.84</v>
      </c>
      <c r="AE15" s="121"/>
    </row>
    <row r="16" spans="2:33" x14ac:dyDescent="0.2">
      <c r="B16" s="49" t="str">
        <f>'PLAN Zahlen'!B18</f>
        <v>1.3.</v>
      </c>
      <c r="C16" s="5" t="str">
        <f>'PLAN Zahlen'!C18</f>
        <v>Sonstige Eingänge</v>
      </c>
      <c r="E16">
        <v>0</v>
      </c>
      <c r="F16" s="36"/>
      <c r="L16" s="121"/>
      <c r="M16" s="121"/>
      <c r="N16" s="121"/>
      <c r="O16" s="121">
        <v>412.2</v>
      </c>
      <c r="P16" s="121"/>
      <c r="Q16" s="121"/>
      <c r="R16" s="121"/>
      <c r="S16" s="121"/>
      <c r="T16" s="122"/>
      <c r="U16" s="122"/>
      <c r="V16" s="122">
        <v>333</v>
      </c>
      <c r="W16" s="122">
        <v>2380</v>
      </c>
      <c r="X16" s="122"/>
      <c r="Y16" s="122">
        <v>7500</v>
      </c>
      <c r="Z16" s="122"/>
      <c r="AA16" s="122"/>
      <c r="AB16" s="122">
        <f>376+45+31+50+32</f>
        <v>534</v>
      </c>
      <c r="AC16" s="122">
        <v>1030</v>
      </c>
      <c r="AD16" s="122">
        <v>4.4400000000000004</v>
      </c>
      <c r="AE16" s="121"/>
    </row>
    <row r="17" spans="2:33" x14ac:dyDescent="0.2">
      <c r="B17" s="49" t="str">
        <f>'PLAN Zahlen'!B19</f>
        <v>1.4.</v>
      </c>
      <c r="C17" s="5" t="s">
        <v>91</v>
      </c>
      <c r="E17">
        <v>0</v>
      </c>
      <c r="L17" s="121"/>
      <c r="M17" s="121">
        <v>2400</v>
      </c>
      <c r="N17" s="121">
        <v>21000</v>
      </c>
      <c r="O17" s="121"/>
      <c r="P17" s="121">
        <v>7000</v>
      </c>
      <c r="Q17" s="121">
        <f xml:space="preserve"> 2000 + 1000 +350 +50 + 100 + 500 + 3000</f>
        <v>7000</v>
      </c>
      <c r="R17" s="121">
        <v>790</v>
      </c>
      <c r="S17" s="121">
        <f xml:space="preserve"> 500 + 150  + 200 + 3000</f>
        <v>3850</v>
      </c>
      <c r="T17" s="122">
        <v>4700</v>
      </c>
      <c r="U17" s="122"/>
      <c r="V17" s="122">
        <v>500</v>
      </c>
      <c r="W17" s="134">
        <v>377</v>
      </c>
      <c r="X17" s="122">
        <v>1300</v>
      </c>
      <c r="Y17" s="122"/>
      <c r="Z17" s="122"/>
      <c r="AA17" s="122">
        <v>1210</v>
      </c>
      <c r="AB17" s="122">
        <v>2000</v>
      </c>
      <c r="AC17" s="122">
        <v>80</v>
      </c>
      <c r="AD17" s="122"/>
      <c r="AE17" s="121"/>
    </row>
    <row r="18" spans="2:33" x14ac:dyDescent="0.2">
      <c r="B18" s="49" t="s">
        <v>84</v>
      </c>
      <c r="C18" s="5" t="s">
        <v>96</v>
      </c>
      <c r="E18">
        <v>0</v>
      </c>
      <c r="F18" s="36"/>
      <c r="L18" s="121"/>
      <c r="M18" s="121"/>
      <c r="N18" s="121"/>
      <c r="O18" s="121"/>
      <c r="P18" s="121"/>
      <c r="Q18" s="121"/>
      <c r="R18" s="121">
        <f xml:space="preserve"> 3000 + 5000 + 9000</f>
        <v>17000</v>
      </c>
      <c r="S18" s="121">
        <v>3000</v>
      </c>
      <c r="T18" s="122">
        <v>6000</v>
      </c>
      <c r="U18" s="122">
        <v>3000</v>
      </c>
      <c r="V18" s="122"/>
      <c r="W18" s="122"/>
      <c r="X18" s="122"/>
      <c r="Y18" s="122"/>
      <c r="Z18" s="122"/>
      <c r="AA18" s="122"/>
      <c r="AB18" s="122"/>
      <c r="AC18" s="122"/>
      <c r="AD18" s="122"/>
      <c r="AE18" s="121"/>
    </row>
    <row r="19" spans="2:33" x14ac:dyDescent="0.2">
      <c r="B19" s="132" t="s">
        <v>87</v>
      </c>
      <c r="C19" s="5" t="s">
        <v>86</v>
      </c>
      <c r="E19">
        <v>0</v>
      </c>
      <c r="F19" s="36"/>
      <c r="L19" s="121"/>
      <c r="M19" s="121">
        <v>24</v>
      </c>
      <c r="N19" s="121"/>
      <c r="O19" s="121"/>
      <c r="P19" s="121">
        <v>822</v>
      </c>
      <c r="Q19" s="121"/>
      <c r="R19" s="121">
        <v>7552</v>
      </c>
      <c r="S19" s="121"/>
      <c r="T19" s="122"/>
      <c r="U19" s="122"/>
      <c r="V19" s="122">
        <v>5986</v>
      </c>
      <c r="W19" s="122">
        <v>308</v>
      </c>
      <c r="X19" s="122">
        <v>3046</v>
      </c>
      <c r="Y19" s="122"/>
      <c r="Z19" s="122"/>
      <c r="AA19" s="122"/>
      <c r="AB19" s="122"/>
      <c r="AC19" s="122"/>
      <c r="AD19" s="122"/>
      <c r="AE19" s="121"/>
    </row>
    <row r="20" spans="2:33" x14ac:dyDescent="0.2">
      <c r="B20" s="132" t="s">
        <v>95</v>
      </c>
      <c r="C20" s="5" t="s">
        <v>94</v>
      </c>
      <c r="E20">
        <v>0</v>
      </c>
      <c r="F20" s="36"/>
      <c r="L20" s="121"/>
      <c r="M20" s="121"/>
      <c r="N20" s="121"/>
      <c r="O20" s="121"/>
      <c r="P20" s="121"/>
      <c r="Q20" s="121"/>
      <c r="R20" s="121"/>
      <c r="S20" s="121"/>
      <c r="T20" s="122">
        <f>431+144</f>
        <v>575</v>
      </c>
      <c r="U20" s="122"/>
      <c r="V20" s="122"/>
      <c r="W20" s="122"/>
      <c r="X20" s="122"/>
      <c r="Y20" s="122"/>
      <c r="Z20" s="122"/>
      <c r="AA20" s="122"/>
      <c r="AB20" s="122"/>
      <c r="AC20" s="122"/>
      <c r="AD20" s="122"/>
      <c r="AE20" s="121"/>
    </row>
    <row r="21" spans="2:33" x14ac:dyDescent="0.2">
      <c r="B21" s="49">
        <f>'PLAN Zahlen'!B23</f>
        <v>0</v>
      </c>
      <c r="C21" s="5" t="s">
        <v>99</v>
      </c>
      <c r="E21">
        <v>0</v>
      </c>
      <c r="F21" s="36"/>
      <c r="L21" s="121"/>
      <c r="M21" s="121"/>
      <c r="N21" s="121"/>
      <c r="O21" s="121"/>
      <c r="P21" s="121"/>
      <c r="Q21" s="121"/>
      <c r="R21" s="121">
        <v>2782</v>
      </c>
      <c r="S21" s="121">
        <f>210+2511+35+142+15+1380+15</f>
        <v>4308</v>
      </c>
      <c r="T21" s="122">
        <f>2514+1237+167+500</f>
        <v>4418</v>
      </c>
      <c r="U21" s="122">
        <f>500+463+4288+4518+1212+1767+15+15+15+15+15+15+123+65+334</f>
        <v>13360</v>
      </c>
      <c r="V21" s="122">
        <v>1767</v>
      </c>
      <c r="W21" s="122">
        <v>19707</v>
      </c>
      <c r="X21" s="134">
        <v>4093</v>
      </c>
      <c r="Y21" s="122">
        <v>5656</v>
      </c>
      <c r="Z21" s="122">
        <v>6980</v>
      </c>
      <c r="AA21" s="122">
        <v>795</v>
      </c>
      <c r="AB21" s="122"/>
      <c r="AC21" s="122">
        <v>750</v>
      </c>
      <c r="AD21" s="122"/>
      <c r="AE21" s="121"/>
    </row>
    <row r="22" spans="2:33" x14ac:dyDescent="0.2">
      <c r="B22" s="49">
        <f>'PLAN Zahlen'!B24</f>
        <v>0</v>
      </c>
      <c r="C22" s="5">
        <f>'PLAN Zahlen'!C24</f>
        <v>0</v>
      </c>
      <c r="E22" s="2">
        <v>0</v>
      </c>
      <c r="F22" s="38"/>
      <c r="G22" s="2"/>
      <c r="H22" s="2"/>
      <c r="I22" s="2"/>
      <c r="J22" s="2"/>
      <c r="K22" s="2"/>
      <c r="L22" s="122"/>
      <c r="M22" s="122"/>
      <c r="N22" s="122"/>
      <c r="O22" s="122"/>
      <c r="P22" s="122"/>
      <c r="Q22" s="122"/>
      <c r="R22" s="122"/>
      <c r="S22" s="122"/>
      <c r="T22" s="122"/>
      <c r="U22" s="122"/>
      <c r="V22" s="122"/>
      <c r="W22" s="122"/>
      <c r="X22" s="122"/>
      <c r="Y22" s="122"/>
      <c r="Z22" s="122"/>
      <c r="AA22" s="122"/>
      <c r="AB22" s="122"/>
      <c r="AC22" s="122"/>
      <c r="AD22" s="122"/>
      <c r="AE22" s="121"/>
    </row>
    <row r="23" spans="2:33" x14ac:dyDescent="0.2">
      <c r="B23" s="49">
        <f>'PLAN Zahlen'!B25</f>
        <v>0</v>
      </c>
      <c r="C23" s="5">
        <f>'PLAN Zahlen'!C25</f>
        <v>0</v>
      </c>
      <c r="E23" s="2">
        <v>0</v>
      </c>
      <c r="F23" s="38"/>
      <c r="G23" s="2"/>
      <c r="H23" s="2"/>
      <c r="I23" s="2"/>
      <c r="J23" s="2"/>
      <c r="K23" s="2"/>
      <c r="L23" s="122"/>
      <c r="M23" s="122"/>
      <c r="N23" s="122"/>
      <c r="O23" s="122"/>
      <c r="P23" s="122"/>
      <c r="Q23" s="122"/>
      <c r="R23" s="122"/>
      <c r="S23" s="122"/>
      <c r="T23" s="122"/>
      <c r="U23" s="122"/>
      <c r="V23" s="122"/>
      <c r="W23" s="122"/>
      <c r="X23" s="122"/>
      <c r="Y23" s="122"/>
      <c r="Z23" s="122"/>
      <c r="AA23" s="122"/>
      <c r="AB23" s="122"/>
      <c r="AC23" s="122"/>
      <c r="AD23" s="122"/>
      <c r="AE23" s="121"/>
    </row>
    <row r="24" spans="2:33" x14ac:dyDescent="0.2">
      <c r="B24" s="49"/>
      <c r="C24" s="5"/>
      <c r="E24" s="2"/>
      <c r="F24" s="38"/>
      <c r="G24" s="2"/>
      <c r="H24" s="2"/>
      <c r="I24" s="2"/>
      <c r="J24" s="2"/>
      <c r="K24" s="2"/>
      <c r="L24" s="122"/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  <c r="AA24" s="122"/>
      <c r="AB24" s="122"/>
      <c r="AC24" s="122"/>
      <c r="AD24" s="122"/>
      <c r="AE24" s="121"/>
    </row>
    <row r="25" spans="2:33" ht="12.75" thickBot="1" x14ac:dyDescent="0.25">
      <c r="B25" s="50"/>
      <c r="C25" s="23" t="s">
        <v>9</v>
      </c>
      <c r="D25" s="23"/>
      <c r="E25" s="24"/>
      <c r="F25" s="39">
        <f t="shared" ref="F25:AG25" si="1">SUM(F11:F24)</f>
        <v>0</v>
      </c>
      <c r="G25" s="24">
        <f t="shared" si="1"/>
        <v>0</v>
      </c>
      <c r="H25" s="24">
        <f t="shared" si="1"/>
        <v>0</v>
      </c>
      <c r="I25" s="24">
        <f t="shared" si="1"/>
        <v>0</v>
      </c>
      <c r="J25" s="24">
        <f t="shared" si="1"/>
        <v>0</v>
      </c>
      <c r="K25" s="24">
        <f t="shared" si="1"/>
        <v>0</v>
      </c>
      <c r="L25" s="120">
        <f t="shared" si="1"/>
        <v>0</v>
      </c>
      <c r="M25" s="120">
        <f t="shared" si="1"/>
        <v>2424</v>
      </c>
      <c r="N25" s="120">
        <f t="shared" si="1"/>
        <v>21000</v>
      </c>
      <c r="O25" s="120">
        <f t="shared" si="1"/>
        <v>412.2</v>
      </c>
      <c r="P25" s="120">
        <f>SUM(P11:P24)</f>
        <v>8269.4399999999987</v>
      </c>
      <c r="Q25" s="120">
        <f t="shared" si="1"/>
        <v>18667.96</v>
      </c>
      <c r="R25" s="120">
        <f t="shared" si="1"/>
        <v>43291.199999999997</v>
      </c>
      <c r="S25" s="120">
        <f>SUM(S11:S24)</f>
        <v>28919</v>
      </c>
      <c r="T25" s="120">
        <f t="shared" si="1"/>
        <v>42107</v>
      </c>
      <c r="U25" s="120">
        <f t="shared" si="1"/>
        <v>45144.32</v>
      </c>
      <c r="V25" s="120">
        <f t="shared" si="1"/>
        <v>33191</v>
      </c>
      <c r="W25" s="120">
        <f t="shared" si="1"/>
        <v>45583</v>
      </c>
      <c r="X25" s="120">
        <f t="shared" si="1"/>
        <v>25811</v>
      </c>
      <c r="Y25" s="120">
        <f t="shared" si="1"/>
        <v>33651</v>
      </c>
      <c r="Z25" s="120">
        <f t="shared" si="1"/>
        <v>29857</v>
      </c>
      <c r="AA25" s="120">
        <f t="shared" si="1"/>
        <v>15098</v>
      </c>
      <c r="AB25" s="120">
        <f t="shared" si="1"/>
        <v>26999</v>
      </c>
      <c r="AC25" s="120">
        <f t="shared" si="1"/>
        <v>23260</v>
      </c>
      <c r="AD25" s="120">
        <f t="shared" si="1"/>
        <v>24135.279999999999</v>
      </c>
      <c r="AE25" s="120">
        <f t="shared" si="1"/>
        <v>0</v>
      </c>
      <c r="AF25" s="24">
        <f t="shared" si="1"/>
        <v>0</v>
      </c>
      <c r="AG25" s="24">
        <f t="shared" si="1"/>
        <v>0</v>
      </c>
    </row>
    <row r="26" spans="2:33" x14ac:dyDescent="0.2">
      <c r="B26" s="49"/>
      <c r="E26" s="2"/>
      <c r="F26" s="38"/>
      <c r="G26" s="2"/>
      <c r="H26" s="2"/>
      <c r="L26" s="121"/>
      <c r="M26" s="121"/>
      <c r="N26" s="121"/>
      <c r="O26" s="121"/>
      <c r="P26" s="121"/>
      <c r="Q26" s="121"/>
      <c r="R26" s="121"/>
      <c r="S26" s="121"/>
      <c r="T26" s="122"/>
      <c r="U26" s="122"/>
      <c r="V26" s="122"/>
      <c r="W26" s="122"/>
      <c r="X26" s="122"/>
      <c r="Y26" s="122"/>
      <c r="Z26" s="122"/>
      <c r="AA26" s="122"/>
      <c r="AB26" s="122"/>
      <c r="AC26" s="122"/>
      <c r="AD26" s="122"/>
      <c r="AE26" s="121"/>
    </row>
    <row r="27" spans="2:33" x14ac:dyDescent="0.2">
      <c r="B27" s="49" t="str">
        <f>'PLAN Zahlen'!B29</f>
        <v>2.</v>
      </c>
      <c r="C27" s="3" t="s">
        <v>31</v>
      </c>
      <c r="F27" s="36"/>
      <c r="L27" s="121"/>
      <c r="M27" s="121"/>
      <c r="N27" s="121"/>
      <c r="O27" s="121"/>
      <c r="P27" s="121"/>
      <c r="Q27" s="121"/>
      <c r="R27" s="121"/>
      <c r="S27" s="121"/>
      <c r="T27" s="122"/>
      <c r="U27" s="122"/>
      <c r="V27" s="122"/>
      <c r="W27" s="122"/>
      <c r="X27" s="122"/>
      <c r="Y27" s="122"/>
      <c r="Z27" s="122"/>
      <c r="AA27" s="122"/>
      <c r="AB27" s="122"/>
      <c r="AC27" s="122"/>
      <c r="AD27" s="122"/>
      <c r="AE27" s="121"/>
    </row>
    <row r="28" spans="2:33" x14ac:dyDescent="0.2">
      <c r="B28" s="49"/>
      <c r="F28" s="36"/>
      <c r="L28" s="121"/>
      <c r="M28" s="121"/>
      <c r="N28" s="121"/>
      <c r="O28" s="121"/>
      <c r="P28" s="121"/>
      <c r="Q28" s="121"/>
      <c r="R28" s="121"/>
      <c r="S28" s="121"/>
      <c r="T28" s="122"/>
      <c r="U28" s="122"/>
      <c r="V28" s="122"/>
      <c r="W28" s="122"/>
      <c r="X28" s="122"/>
      <c r="Y28" s="122"/>
      <c r="Z28" s="122"/>
      <c r="AA28" s="122"/>
      <c r="AB28" s="122"/>
      <c r="AC28" s="122"/>
      <c r="AD28" s="122"/>
      <c r="AE28" s="121"/>
    </row>
    <row r="29" spans="2:33" x14ac:dyDescent="0.2">
      <c r="B29" s="49" t="str">
        <f>'PLAN Zahlen'!B31</f>
        <v>2.1.</v>
      </c>
      <c r="C29" s="5" t="str">
        <f>'PLAN Zahlen'!C31</f>
        <v>Materialkosten</v>
      </c>
      <c r="D29" s="5"/>
      <c r="E29">
        <v>0</v>
      </c>
      <c r="F29" s="36">
        <v>0</v>
      </c>
      <c r="G29" s="36">
        <v>0</v>
      </c>
      <c r="H29" s="36">
        <v>0</v>
      </c>
      <c r="I29" s="36">
        <v>0</v>
      </c>
      <c r="J29" s="36">
        <v>0</v>
      </c>
      <c r="K29" s="36">
        <v>0</v>
      </c>
      <c r="L29" s="119">
        <v>0</v>
      </c>
      <c r="M29" s="119">
        <v>0</v>
      </c>
      <c r="N29" s="119">
        <v>0</v>
      </c>
      <c r="O29" s="121"/>
      <c r="P29" s="121"/>
      <c r="Q29" s="121"/>
      <c r="R29" s="121"/>
      <c r="S29" s="121"/>
      <c r="T29" s="122"/>
      <c r="U29" s="122"/>
      <c r="V29" s="122"/>
      <c r="W29" s="122"/>
      <c r="X29" s="122"/>
      <c r="Y29" s="122"/>
      <c r="Z29" s="122"/>
      <c r="AA29" s="122"/>
      <c r="AB29" s="122"/>
      <c r="AC29" s="122"/>
      <c r="AD29" s="122"/>
      <c r="AE29" s="121"/>
    </row>
    <row r="30" spans="2:33" x14ac:dyDescent="0.2">
      <c r="B30" s="49" t="str">
        <f>'PLAN Zahlen'!B32</f>
        <v>2.2.</v>
      </c>
      <c r="C30" s="5" t="str">
        <f>'PLAN Zahlen'!C32</f>
        <v>Löhne und Gehälter</v>
      </c>
      <c r="D30" s="5"/>
      <c r="E30" s="21"/>
      <c r="F30" s="36">
        <v>0</v>
      </c>
      <c r="G30" s="36">
        <v>0</v>
      </c>
      <c r="H30" s="36">
        <v>0</v>
      </c>
      <c r="I30" s="36">
        <v>0</v>
      </c>
      <c r="J30" s="36">
        <v>0</v>
      </c>
      <c r="K30" s="36">
        <v>0</v>
      </c>
      <c r="L30" s="119">
        <v>0</v>
      </c>
      <c r="M30" s="119">
        <v>0</v>
      </c>
      <c r="N30" s="119"/>
      <c r="O30" s="123"/>
      <c r="P30" s="123"/>
      <c r="Q30" s="123"/>
      <c r="R30" s="123"/>
      <c r="S30" s="123"/>
      <c r="T30" s="135"/>
      <c r="U30" s="135"/>
      <c r="V30" s="135"/>
      <c r="W30" s="135"/>
      <c r="X30" s="135"/>
      <c r="Y30" s="135"/>
      <c r="Z30" s="135"/>
      <c r="AA30" s="135"/>
      <c r="AB30" s="135"/>
      <c r="AC30" s="135"/>
      <c r="AD30" s="135"/>
      <c r="AE30" s="123"/>
      <c r="AF30" s="21"/>
      <c r="AG30" s="21"/>
    </row>
    <row r="31" spans="2:33" x14ac:dyDescent="0.2">
      <c r="B31" s="49">
        <f>'PLAN Zahlen'!B33</f>
        <v>0</v>
      </c>
      <c r="C31" s="76" t="str">
        <f>'PLAN Zahlen'!C33</f>
        <v>Löhne</v>
      </c>
      <c r="E31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119">
        <v>0</v>
      </c>
      <c r="M31" s="119">
        <v>0</v>
      </c>
      <c r="N31" s="119"/>
      <c r="O31" s="121"/>
      <c r="P31" s="121"/>
      <c r="Q31" s="121"/>
      <c r="R31" s="121"/>
      <c r="S31" s="121"/>
      <c r="T31" s="122"/>
      <c r="U31" s="122"/>
      <c r="V31" s="122"/>
      <c r="W31" s="122"/>
      <c r="X31" s="122"/>
      <c r="Y31" s="122"/>
      <c r="Z31" s="122"/>
      <c r="AA31" s="122"/>
      <c r="AB31" s="122"/>
      <c r="AC31" s="122"/>
      <c r="AD31" s="122"/>
      <c r="AE31" s="121"/>
    </row>
    <row r="32" spans="2:33" x14ac:dyDescent="0.2">
      <c r="B32" s="49">
        <f>'PLAN Zahlen'!B34</f>
        <v>0</v>
      </c>
      <c r="C32" s="76" t="str">
        <f>'PLAN Zahlen'!C34</f>
        <v>Gehälter</v>
      </c>
      <c r="E32">
        <v>0</v>
      </c>
      <c r="F32" s="36">
        <v>0</v>
      </c>
      <c r="G32" s="36">
        <v>0</v>
      </c>
      <c r="H32" s="36">
        <v>0</v>
      </c>
      <c r="I32" s="36">
        <v>0</v>
      </c>
      <c r="J32" s="36">
        <v>0</v>
      </c>
      <c r="K32" s="36">
        <v>0</v>
      </c>
      <c r="L32" s="119">
        <v>0</v>
      </c>
      <c r="M32" s="119">
        <v>0</v>
      </c>
      <c r="N32" s="123">
        <v>-1376.89</v>
      </c>
      <c r="O32" s="123">
        <v>-1376.89</v>
      </c>
      <c r="P32" s="124">
        <v>-1376.89</v>
      </c>
      <c r="Q32" s="124">
        <v>-1376.89</v>
      </c>
      <c r="R32" s="124">
        <f xml:space="preserve"> - 1376.89  + - 1653.68 + - 1302.8 + - 871.95 + - 648.6</f>
        <v>-5853.92</v>
      </c>
      <c r="S32" s="121">
        <f xml:space="preserve"> - 1653.68 + -  871.95 +-  648.6 + - 1924.01</f>
        <v>-5098.24</v>
      </c>
      <c r="T32" s="122">
        <f xml:space="preserve"> - 1653.68 + - 871.95 + - 600</f>
        <v>-3125.63</v>
      </c>
      <c r="U32" s="122">
        <v>-4802</v>
      </c>
      <c r="V32" s="122">
        <v>-5600</v>
      </c>
      <c r="W32" s="122">
        <v>-1000</v>
      </c>
      <c r="X32" s="122">
        <v>-3400</v>
      </c>
      <c r="Y32" s="122">
        <v>-5409</v>
      </c>
      <c r="Z32" s="122">
        <v>-4400</v>
      </c>
      <c r="AA32" s="122">
        <v>-2400</v>
      </c>
      <c r="AB32" s="122"/>
      <c r="AC32" s="122"/>
      <c r="AD32" s="122">
        <f xml:space="preserve"> - 2000 + - 1600</f>
        <v>-3600</v>
      </c>
      <c r="AE32" s="121"/>
    </row>
    <row r="33" spans="2:33" x14ac:dyDescent="0.2">
      <c r="B33" s="49">
        <f>'PLAN Zahlen'!B35</f>
        <v>0</v>
      </c>
      <c r="C33" s="76" t="str">
        <f>'PLAN Zahlen'!C35</f>
        <v>Sozialversicherung</v>
      </c>
      <c r="E33">
        <v>0</v>
      </c>
      <c r="F33" s="36">
        <v>0</v>
      </c>
      <c r="G33" s="36">
        <v>0</v>
      </c>
      <c r="H33" s="36">
        <v>0</v>
      </c>
      <c r="I33" s="36">
        <v>0</v>
      </c>
      <c r="J33" s="36">
        <v>0</v>
      </c>
      <c r="K33" s="36">
        <v>0</v>
      </c>
      <c r="L33" s="119">
        <v>0</v>
      </c>
      <c r="M33" s="119">
        <v>0</v>
      </c>
      <c r="N33" s="125">
        <v>-822.14</v>
      </c>
      <c r="O33" s="125">
        <v>-1644</v>
      </c>
      <c r="P33" s="125">
        <v>-822.14</v>
      </c>
      <c r="Q33" s="125">
        <v>-822.14</v>
      </c>
      <c r="R33" s="125"/>
      <c r="S33" s="121">
        <f xml:space="preserve"> - 1603.38 + - 842.46 + - 649.56</f>
        <v>-3095.4</v>
      </c>
      <c r="T33" s="122"/>
      <c r="U33" s="122"/>
      <c r="V33" s="122"/>
      <c r="W33" s="122"/>
      <c r="X33" s="122"/>
      <c r="Y33" s="122"/>
      <c r="Z33" s="122"/>
      <c r="AA33" s="122"/>
      <c r="AB33" s="122">
        <f xml:space="preserve"> - 1454.06 + - 1015.12 + - 2632.7</f>
        <v>-5101.8799999999992</v>
      </c>
      <c r="AC33" s="122">
        <f>-7815-100</f>
        <v>-7915</v>
      </c>
      <c r="AD33" s="122">
        <f xml:space="preserve"> - 2249.24 + - 648.3 + - 283</f>
        <v>-3180.54</v>
      </c>
      <c r="AE33" s="121"/>
    </row>
    <row r="34" spans="2:33" x14ac:dyDescent="0.2">
      <c r="B34" s="49">
        <f>'PLAN Zahlen'!B36</f>
        <v>0</v>
      </c>
      <c r="C34" s="76" t="str">
        <f>'PLAN Zahlen'!C36</f>
        <v>Lohnsteuer</v>
      </c>
      <c r="E34">
        <v>0</v>
      </c>
      <c r="F34" s="36">
        <v>0</v>
      </c>
      <c r="G34" s="36">
        <v>0</v>
      </c>
      <c r="H34" s="36">
        <v>0</v>
      </c>
      <c r="I34" s="36">
        <v>0</v>
      </c>
      <c r="J34" s="36">
        <v>0</v>
      </c>
      <c r="K34" s="36">
        <v>0</v>
      </c>
      <c r="L34" s="119">
        <v>0</v>
      </c>
      <c r="M34" s="119">
        <v>0</v>
      </c>
      <c r="N34" s="125">
        <v>-143.58000000000001</v>
      </c>
      <c r="O34" s="125">
        <v>-143.58000000000001</v>
      </c>
      <c r="P34" s="125">
        <v>-143.58000000000001</v>
      </c>
      <c r="Q34" s="125">
        <v>-143.58000000000001</v>
      </c>
      <c r="R34" s="125">
        <v>-430.74</v>
      </c>
      <c r="S34" s="125">
        <v>-144.58000000000001</v>
      </c>
      <c r="T34" s="122"/>
      <c r="U34" s="122"/>
      <c r="V34" s="122"/>
      <c r="W34" s="122"/>
      <c r="X34" s="122"/>
      <c r="Y34" s="122"/>
      <c r="Z34" s="122"/>
      <c r="AA34" s="122"/>
      <c r="AB34" s="122"/>
      <c r="AC34" s="122"/>
      <c r="AD34" s="122"/>
      <c r="AE34" s="121"/>
    </row>
    <row r="35" spans="2:33" x14ac:dyDescent="0.2">
      <c r="B35" s="49">
        <f>'PLAN Zahlen'!B37</f>
        <v>0</v>
      </c>
      <c r="C35" s="76" t="str">
        <f>'PLAN Zahlen'!C37</f>
        <v xml:space="preserve">Sonstiges </v>
      </c>
      <c r="E35">
        <v>0</v>
      </c>
      <c r="F35" s="36">
        <v>0</v>
      </c>
      <c r="G35" s="36">
        <v>0</v>
      </c>
      <c r="H35" s="36">
        <v>0</v>
      </c>
      <c r="I35" s="36">
        <v>0</v>
      </c>
      <c r="J35" s="36">
        <v>0</v>
      </c>
      <c r="K35" s="36">
        <v>0</v>
      </c>
      <c r="L35" s="119">
        <v>0</v>
      </c>
      <c r="M35" s="119">
        <v>0</v>
      </c>
      <c r="N35" s="119">
        <v>0</v>
      </c>
      <c r="O35" s="121"/>
      <c r="P35" s="121"/>
      <c r="Q35" s="121"/>
      <c r="R35" s="121"/>
      <c r="S35" s="121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2"/>
      <c r="AE35" s="121"/>
    </row>
    <row r="36" spans="2:33" hidden="1" x14ac:dyDescent="0.2">
      <c r="B36" s="49">
        <f>'PLAN Zahlen'!B38</f>
        <v>0</v>
      </c>
      <c r="C36" s="5" t="str">
        <f>'PLAN Zahlen'!C38</f>
        <v>Gesamtsumme</v>
      </c>
      <c r="D36" s="44"/>
      <c r="E36" s="44">
        <f t="shared" ref="E36" si="2">SUM(E37:E41)</f>
        <v>0</v>
      </c>
      <c r="F36" s="36">
        <v>0</v>
      </c>
      <c r="G36" s="36">
        <v>0</v>
      </c>
      <c r="H36" s="36">
        <v>0</v>
      </c>
      <c r="I36" s="36">
        <v>0</v>
      </c>
      <c r="J36" s="36">
        <v>0</v>
      </c>
      <c r="K36" s="36">
        <v>0</v>
      </c>
      <c r="L36" s="119">
        <v>0</v>
      </c>
      <c r="M36" s="119">
        <v>0</v>
      </c>
      <c r="N36" s="119">
        <v>0</v>
      </c>
      <c r="O36" s="126"/>
      <c r="P36" s="126"/>
      <c r="Q36" s="126"/>
      <c r="R36" s="126"/>
      <c r="S36" s="126"/>
      <c r="T36" s="136"/>
      <c r="U36" s="136"/>
      <c r="V36" s="136"/>
      <c r="W36" s="136"/>
      <c r="X36" s="136"/>
      <c r="Y36" s="136">
        <f t="shared" ref="Y36:AG36" si="3">SUM(Y31:Y35)</f>
        <v>-5409</v>
      </c>
      <c r="Z36" s="136">
        <f t="shared" si="3"/>
        <v>-4400</v>
      </c>
      <c r="AA36" s="136">
        <f t="shared" si="3"/>
        <v>-2400</v>
      </c>
      <c r="AB36" s="136">
        <f t="shared" si="3"/>
        <v>-5101.8799999999992</v>
      </c>
      <c r="AC36" s="136">
        <f t="shared" si="3"/>
        <v>-7915</v>
      </c>
      <c r="AD36" s="136">
        <f t="shared" si="3"/>
        <v>-6780.54</v>
      </c>
      <c r="AE36" s="126">
        <f t="shared" si="3"/>
        <v>0</v>
      </c>
      <c r="AF36" s="46">
        <f t="shared" si="3"/>
        <v>0</v>
      </c>
      <c r="AG36" s="46">
        <f t="shared" si="3"/>
        <v>0</v>
      </c>
    </row>
    <row r="37" spans="2:33" x14ac:dyDescent="0.2">
      <c r="B37" s="49" t="str">
        <f>'PLAN Zahlen'!B39</f>
        <v>2.3.</v>
      </c>
      <c r="C37" s="5" t="str">
        <f>'PLAN Zahlen'!C39</f>
        <v>Umsatzsteuer</v>
      </c>
      <c r="E37">
        <v>0</v>
      </c>
      <c r="F37" s="36">
        <v>0</v>
      </c>
      <c r="G37" s="36">
        <v>0</v>
      </c>
      <c r="H37" s="36">
        <v>0</v>
      </c>
      <c r="I37" s="36">
        <v>0</v>
      </c>
      <c r="J37" s="36">
        <v>0</v>
      </c>
      <c r="K37" s="36">
        <v>0</v>
      </c>
      <c r="L37" s="119">
        <v>0</v>
      </c>
      <c r="M37" s="119">
        <v>0</v>
      </c>
      <c r="N37" s="119">
        <v>0</v>
      </c>
      <c r="O37" s="121"/>
      <c r="P37" s="121"/>
      <c r="Q37" s="121"/>
      <c r="R37" s="121"/>
      <c r="S37" s="121"/>
      <c r="T37" s="122"/>
      <c r="U37" s="122"/>
      <c r="V37" s="122"/>
      <c r="W37" s="122"/>
      <c r="X37" s="122"/>
      <c r="Y37" s="122"/>
      <c r="Z37" s="122"/>
      <c r="AA37" s="122"/>
      <c r="AB37" s="122"/>
      <c r="AC37" s="122"/>
      <c r="AD37" s="122"/>
      <c r="AE37" s="121"/>
    </row>
    <row r="38" spans="2:33" x14ac:dyDescent="0.2">
      <c r="B38" s="49" t="str">
        <f>'PLAN Zahlen'!B40</f>
        <v>2.4.</v>
      </c>
      <c r="C38" s="5" t="str">
        <f>'PLAN Zahlen'!C40</f>
        <v>Strom/Gas</v>
      </c>
      <c r="E38" s="2">
        <v>0</v>
      </c>
      <c r="F38" s="36">
        <v>0</v>
      </c>
      <c r="G38" s="36">
        <v>0</v>
      </c>
      <c r="H38" s="36">
        <v>0</v>
      </c>
      <c r="I38" s="36">
        <v>0</v>
      </c>
      <c r="J38" s="36">
        <v>0</v>
      </c>
      <c r="K38" s="36">
        <v>0</v>
      </c>
      <c r="L38" s="119">
        <v>0</v>
      </c>
      <c r="M38" s="119">
        <v>0</v>
      </c>
      <c r="N38" s="119">
        <v>0</v>
      </c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  <c r="AA38" s="122"/>
      <c r="AB38" s="122"/>
      <c r="AC38" s="122"/>
      <c r="AD38" s="122"/>
      <c r="AE38" s="121"/>
    </row>
    <row r="39" spans="2:33" x14ac:dyDescent="0.2">
      <c r="B39" s="49" t="str">
        <f>'PLAN Zahlen'!B41</f>
        <v>2.5.</v>
      </c>
      <c r="C39" s="5" t="str">
        <f>'PLAN Zahlen'!C41</f>
        <v>Lease/Miete/Tilgung (Fuhrpark)</v>
      </c>
      <c r="E39" s="2">
        <v>0</v>
      </c>
      <c r="F39" s="36">
        <v>0</v>
      </c>
      <c r="G39" s="36">
        <v>0</v>
      </c>
      <c r="H39" s="36">
        <v>0</v>
      </c>
      <c r="I39" s="36">
        <v>0</v>
      </c>
      <c r="J39" s="36">
        <v>0</v>
      </c>
      <c r="K39" s="36">
        <v>0</v>
      </c>
      <c r="L39" s="119">
        <v>0</v>
      </c>
      <c r="M39" s="119">
        <v>0</v>
      </c>
      <c r="N39" s="119"/>
      <c r="O39" s="125">
        <v>-404.6</v>
      </c>
      <c r="P39" s="125">
        <v>-1414</v>
      </c>
      <c r="Q39" s="125">
        <v>-1827</v>
      </c>
      <c r="R39" s="125">
        <v>-4096</v>
      </c>
      <c r="S39" s="125">
        <f>-1526-421-318-2510-3217</f>
        <v>-7992</v>
      </c>
      <c r="T39" s="125">
        <f xml:space="preserve"> - 3180.87 + - 1237.6 + - 15 + - 4208.28 + - 282.8 + - 15-422-500</f>
        <v>-9861.5499999999993</v>
      </c>
      <c r="U39" s="125">
        <f>-423-319-320-500-1178-1238-1000-1767-1212-180-12</f>
        <v>-8149</v>
      </c>
      <c r="V39" s="125">
        <f>-424-320-1212-1767-1212-1767-15-1767-45-1452-552-169</f>
        <v>-10702</v>
      </c>
      <c r="W39" s="125">
        <f>-425-320-1767-419-30-3735-419-88</f>
        <v>-7203</v>
      </c>
      <c r="X39" s="125">
        <f>-426-321-322-281-1767-345-210</f>
        <v>-3672</v>
      </c>
      <c r="Y39" s="125">
        <f>-282-409-500-642-409-295-1767</f>
        <v>-4304</v>
      </c>
      <c r="Z39" s="125">
        <f>-427-323-283-365-500-417-5288-15-642-295</f>
        <v>-8555</v>
      </c>
      <c r="AA39" s="122">
        <f>-409-348</f>
        <v>-757</v>
      </c>
      <c r="AB39" s="122">
        <v>-2829</v>
      </c>
      <c r="AC39" s="122">
        <v>-500</v>
      </c>
      <c r="AD39" s="122">
        <f xml:space="preserve"> - 1330.41 + - 367.48 + - 500 + - 408.89</f>
        <v>-2606.7800000000002</v>
      </c>
      <c r="AE39" s="121"/>
    </row>
    <row r="40" spans="2:33" x14ac:dyDescent="0.2">
      <c r="B40" s="49" t="str">
        <f>'PLAN Zahlen'!B42</f>
        <v>2.5.</v>
      </c>
      <c r="C40" s="5" t="s">
        <v>93</v>
      </c>
      <c r="E40" s="2">
        <v>0</v>
      </c>
      <c r="F40" s="36">
        <v>0</v>
      </c>
      <c r="G40" s="36">
        <v>0</v>
      </c>
      <c r="H40" s="36">
        <v>0</v>
      </c>
      <c r="I40" s="36">
        <v>0</v>
      </c>
      <c r="J40" s="36">
        <v>0</v>
      </c>
      <c r="K40" s="36">
        <v>0</v>
      </c>
      <c r="L40" s="119">
        <v>0</v>
      </c>
      <c r="M40" s="119">
        <v>0</v>
      </c>
      <c r="N40" s="119">
        <v>0</v>
      </c>
      <c r="O40" s="122"/>
      <c r="P40" s="122">
        <v>-2322</v>
      </c>
      <c r="Q40" s="122">
        <v>-4753</v>
      </c>
      <c r="R40" s="122">
        <v>-8578</v>
      </c>
      <c r="S40" s="122">
        <v>-6573</v>
      </c>
      <c r="T40" s="122">
        <v>-9304</v>
      </c>
      <c r="U40" s="122">
        <v>-8805</v>
      </c>
      <c r="V40" s="122">
        <v>-4288</v>
      </c>
      <c r="W40" s="122"/>
      <c r="X40" s="122"/>
      <c r="Y40" s="122">
        <f>-1310-4518-20</f>
        <v>-5848</v>
      </c>
      <c r="Z40" s="122">
        <v>-1360</v>
      </c>
      <c r="AA40" s="122"/>
      <c r="AB40" s="122">
        <v>-6537</v>
      </c>
      <c r="AC40" s="122"/>
      <c r="AD40" s="122"/>
      <c r="AE40" s="121"/>
    </row>
    <row r="41" spans="2:33" x14ac:dyDescent="0.2">
      <c r="B41" s="49" t="str">
        <f>'PLAN Zahlen'!B43</f>
        <v>2.6.</v>
      </c>
      <c r="C41" s="5" t="str">
        <f>'PLAN Zahlen'!C43</f>
        <v>Miete Geschäftsräume</v>
      </c>
      <c r="E41" s="2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119">
        <v>0</v>
      </c>
      <c r="M41" s="119">
        <v>0</v>
      </c>
      <c r="N41" s="119">
        <v>0</v>
      </c>
      <c r="O41" s="122"/>
      <c r="P41" s="124"/>
      <c r="Q41" s="124"/>
      <c r="R41" s="124"/>
      <c r="S41" s="124"/>
      <c r="T41" s="124"/>
      <c r="U41" s="124"/>
      <c r="V41" s="124"/>
      <c r="W41" s="124">
        <v>392</v>
      </c>
      <c r="X41" s="124">
        <v>-392</v>
      </c>
      <c r="Y41" s="124">
        <v>-392</v>
      </c>
      <c r="Z41" s="124">
        <v>-392</v>
      </c>
      <c r="AA41" s="122"/>
      <c r="AB41" s="122">
        <v>-784</v>
      </c>
      <c r="AC41" s="122"/>
      <c r="AD41" s="122"/>
      <c r="AE41" s="121"/>
    </row>
    <row r="42" spans="2:33" x14ac:dyDescent="0.2">
      <c r="B42" s="49" t="str">
        <f>'PLAN Zahlen'!B44</f>
        <v>2.7.</v>
      </c>
      <c r="C42" s="5" t="s">
        <v>97</v>
      </c>
      <c r="E42" s="2">
        <v>0</v>
      </c>
      <c r="F42" s="36">
        <v>0</v>
      </c>
      <c r="G42" s="36">
        <v>0</v>
      </c>
      <c r="H42" s="36">
        <v>0</v>
      </c>
      <c r="I42" s="36">
        <v>0</v>
      </c>
      <c r="J42" s="36">
        <v>0</v>
      </c>
      <c r="K42" s="36">
        <v>0</v>
      </c>
      <c r="L42" s="119">
        <v>0</v>
      </c>
      <c r="M42" s="119"/>
      <c r="N42" s="119">
        <v>0</v>
      </c>
      <c r="O42" s="122"/>
      <c r="P42" s="122"/>
      <c r="Q42" s="122"/>
      <c r="R42" s="122"/>
      <c r="S42" s="122"/>
      <c r="T42" s="122"/>
      <c r="U42" s="122">
        <v>-3000</v>
      </c>
      <c r="V42" s="122"/>
      <c r="W42" s="122"/>
      <c r="X42" s="122">
        <v>-2100</v>
      </c>
      <c r="Y42" s="122"/>
      <c r="Z42" s="122"/>
      <c r="AA42" s="122"/>
      <c r="AB42" s="122"/>
      <c r="AC42" s="122"/>
      <c r="AD42" s="122"/>
      <c r="AE42" s="121"/>
    </row>
    <row r="43" spans="2:33" x14ac:dyDescent="0.2">
      <c r="B43" s="49" t="str">
        <f>'PLAN Zahlen'!B45</f>
        <v>2.8.</v>
      </c>
      <c r="C43" s="5" t="str">
        <f>'PLAN Zahlen'!C45</f>
        <v>Versicherungen</v>
      </c>
      <c r="E43" s="2">
        <v>0</v>
      </c>
      <c r="F43" s="36">
        <v>0</v>
      </c>
      <c r="G43" s="36">
        <v>0</v>
      </c>
      <c r="H43" s="36">
        <v>0</v>
      </c>
      <c r="I43" s="36">
        <v>0</v>
      </c>
      <c r="J43" s="36">
        <v>0</v>
      </c>
      <c r="K43" s="36">
        <v>0</v>
      </c>
      <c r="L43" s="119">
        <v>0</v>
      </c>
      <c r="M43" s="119" t="s">
        <v>83</v>
      </c>
      <c r="N43" s="119"/>
      <c r="O43" s="125"/>
      <c r="P43" s="125">
        <f>- 35.7 + - 7.94 +-  2493.02 + - 74.97</f>
        <v>-2611.6299999999997</v>
      </c>
      <c r="Q43" s="125">
        <v>-41.65</v>
      </c>
      <c r="R43" s="125">
        <v>-83.3</v>
      </c>
      <c r="S43" s="125">
        <f xml:space="preserve"> - 83.3 + - 2510.9</f>
        <v>-2594.2000000000003</v>
      </c>
      <c r="T43" s="125">
        <f>-2511-83-51</f>
        <v>-2645</v>
      </c>
      <c r="U43" s="125">
        <f xml:space="preserve"> - 124.95 + - 462.9 + - 462.9</f>
        <v>-1050.75</v>
      </c>
      <c r="V43" s="125">
        <f xml:space="preserve"> - 124.95 + - 54 + - 231.45</f>
        <v>-410.4</v>
      </c>
      <c r="W43" s="125">
        <f xml:space="preserve"> - 6130.06 + - 275.77 + - 124.95 + - 181.45 + - 536.98-6133</f>
        <v>-13382.21</v>
      </c>
      <c r="X43" s="125">
        <f>-343-125-231-232-343-343-200</f>
        <v>-1817</v>
      </c>
      <c r="Y43" s="125">
        <v>-1669</v>
      </c>
      <c r="Z43" s="125">
        <v>-343</v>
      </c>
      <c r="AA43" s="122">
        <v>-1200</v>
      </c>
      <c r="AB43" s="122">
        <f>-4024-375</f>
        <v>-4399</v>
      </c>
      <c r="AC43" s="122"/>
      <c r="AD43" s="122">
        <v>-163.6</v>
      </c>
      <c r="AE43" s="121"/>
    </row>
    <row r="44" spans="2:33" x14ac:dyDescent="0.2">
      <c r="B44" s="49" t="str">
        <f>'PLAN Zahlen'!B46</f>
        <v>2.9.</v>
      </c>
      <c r="C44" s="5" t="s">
        <v>92</v>
      </c>
      <c r="E44" s="2">
        <v>0</v>
      </c>
      <c r="F44" s="36">
        <v>0</v>
      </c>
      <c r="G44" s="36">
        <v>0</v>
      </c>
      <c r="H44" s="36">
        <v>0</v>
      </c>
      <c r="I44" s="36">
        <v>0</v>
      </c>
      <c r="J44" s="36">
        <v>0</v>
      </c>
      <c r="K44" s="36">
        <v>0</v>
      </c>
      <c r="L44" s="119">
        <v>0</v>
      </c>
      <c r="M44" s="119">
        <v>0</v>
      </c>
      <c r="N44" s="119">
        <v>0</v>
      </c>
      <c r="O44" s="122"/>
      <c r="P44" s="122">
        <v>-1011</v>
      </c>
      <c r="Q44" s="122"/>
      <c r="R44" s="122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  <c r="AC44" s="122"/>
      <c r="AD44" s="122"/>
      <c r="AE44" s="121"/>
    </row>
    <row r="45" spans="2:33" x14ac:dyDescent="0.2">
      <c r="B45" s="49" t="str">
        <f>'PLAN Zahlen'!B47</f>
        <v>2.10.</v>
      </c>
      <c r="C45" s="5" t="str">
        <f>'PLAN Zahlen'!C47</f>
        <v>Beratungskosten</v>
      </c>
      <c r="E45" s="2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119">
        <v>0</v>
      </c>
      <c r="M45" s="119">
        <v>-2380</v>
      </c>
      <c r="N45" s="119">
        <v>0</v>
      </c>
      <c r="O45" s="122"/>
      <c r="P45" s="122"/>
      <c r="Q45" s="122"/>
      <c r="R45" s="122"/>
      <c r="S45" s="122">
        <v>-1401</v>
      </c>
      <c r="T45" s="122"/>
      <c r="U45" s="122"/>
      <c r="V45" s="122">
        <v>-1773</v>
      </c>
      <c r="W45" s="122"/>
      <c r="X45" s="122">
        <v>-1595</v>
      </c>
      <c r="Y45" s="122"/>
      <c r="Z45" s="122">
        <v>-436</v>
      </c>
      <c r="AA45" s="122"/>
      <c r="AB45" s="122"/>
      <c r="AC45" s="122"/>
      <c r="AD45" s="122"/>
      <c r="AE45" s="121"/>
    </row>
    <row r="46" spans="2:33" x14ac:dyDescent="0.2">
      <c r="B46" s="49" t="str">
        <f>'PLAN Zahlen'!B48</f>
        <v>2.11.</v>
      </c>
      <c r="C46" s="5" t="s">
        <v>101</v>
      </c>
      <c r="E46" s="2">
        <v>0</v>
      </c>
      <c r="F46" s="36">
        <v>0</v>
      </c>
      <c r="G46" s="36">
        <v>0</v>
      </c>
      <c r="H46" s="36">
        <v>0</v>
      </c>
      <c r="I46" s="36">
        <v>0</v>
      </c>
      <c r="J46" s="36">
        <v>0</v>
      </c>
      <c r="K46" s="36">
        <v>0</v>
      </c>
      <c r="L46" s="119">
        <v>0</v>
      </c>
      <c r="M46" s="119">
        <v>0</v>
      </c>
      <c r="N46" s="119">
        <v>0</v>
      </c>
      <c r="O46" s="122"/>
      <c r="P46" s="122"/>
      <c r="Q46" s="122"/>
      <c r="R46" s="122"/>
      <c r="S46" s="122"/>
      <c r="T46" s="122"/>
      <c r="U46" s="122"/>
      <c r="V46" s="122">
        <f>-1452-552-169</f>
        <v>-2173</v>
      </c>
      <c r="W46" s="122"/>
      <c r="X46" s="122"/>
      <c r="Y46" s="122"/>
      <c r="Z46" s="122"/>
      <c r="AA46" s="122"/>
      <c r="AB46" s="122">
        <v>-750</v>
      </c>
      <c r="AC46" s="122">
        <v>-932</v>
      </c>
      <c r="AD46" s="122"/>
      <c r="AE46" s="121"/>
    </row>
    <row r="47" spans="2:33" x14ac:dyDescent="0.2">
      <c r="B47" s="49" t="str">
        <f>'PLAN Zahlen'!B49</f>
        <v>2.12.</v>
      </c>
      <c r="C47" s="5" t="str">
        <f>'PLAN Zahlen'!C49</f>
        <v>Zinsen/Gebühren (z.B. InsoGeld)</v>
      </c>
      <c r="E47" s="2">
        <v>0</v>
      </c>
      <c r="F47" s="36">
        <v>0</v>
      </c>
      <c r="G47" s="36">
        <v>0</v>
      </c>
      <c r="H47" s="36">
        <v>0</v>
      </c>
      <c r="I47" s="36">
        <v>0</v>
      </c>
      <c r="J47" s="36">
        <v>0</v>
      </c>
      <c r="K47" s="36">
        <v>0</v>
      </c>
      <c r="L47" s="119">
        <v>0</v>
      </c>
      <c r="M47" s="119">
        <v>0</v>
      </c>
      <c r="N47" s="119"/>
      <c r="O47" s="122"/>
      <c r="P47" s="122"/>
      <c r="Q47" s="122"/>
      <c r="R47" s="122"/>
      <c r="S47" s="122"/>
      <c r="T47" s="122">
        <v>-78</v>
      </c>
      <c r="U47" s="122">
        <v>-256</v>
      </c>
      <c r="V47" s="122">
        <f>-76-88</f>
        <v>-164</v>
      </c>
      <c r="W47" s="122"/>
      <c r="X47" s="122"/>
      <c r="Y47" s="122">
        <v>-63</v>
      </c>
      <c r="Z47" s="122">
        <v>-221</v>
      </c>
      <c r="AA47" s="122"/>
      <c r="AB47" s="122">
        <v>-588</v>
      </c>
      <c r="AC47" s="122"/>
      <c r="AD47" s="122"/>
      <c r="AE47" s="121"/>
    </row>
    <row r="48" spans="2:33" x14ac:dyDescent="0.2">
      <c r="B48" s="49" t="str">
        <f>'PLAN Zahlen'!B50</f>
        <v>2.13.</v>
      </c>
      <c r="C48" s="5" t="s">
        <v>85</v>
      </c>
      <c r="E48" s="2">
        <v>0</v>
      </c>
      <c r="F48" s="38"/>
      <c r="G48" s="2"/>
      <c r="H48" s="2"/>
      <c r="I48" s="2"/>
      <c r="J48" s="2"/>
      <c r="K48" s="2"/>
      <c r="L48" s="122"/>
      <c r="M48" s="122"/>
      <c r="N48" s="125">
        <v>-1000</v>
      </c>
      <c r="O48" s="122">
        <v>-1000</v>
      </c>
      <c r="P48" s="122">
        <v>-2484</v>
      </c>
      <c r="Q48" s="122"/>
      <c r="R48" s="122">
        <v>-4650</v>
      </c>
      <c r="S48" s="122">
        <v>-3100</v>
      </c>
      <c r="T48" s="122">
        <v>-7330</v>
      </c>
      <c r="U48" s="122">
        <v>-10664</v>
      </c>
      <c r="V48" s="122">
        <v>-26160</v>
      </c>
      <c r="W48" s="122">
        <v>-6267</v>
      </c>
      <c r="X48" s="122">
        <v>-6211</v>
      </c>
      <c r="Y48" s="122">
        <v>-8520</v>
      </c>
      <c r="Z48" s="122">
        <v>-10450</v>
      </c>
      <c r="AA48" s="122">
        <v>-1000</v>
      </c>
      <c r="AB48" s="122">
        <v>-542</v>
      </c>
      <c r="AC48" s="122">
        <v>-1189</v>
      </c>
      <c r="AD48" s="122"/>
      <c r="AE48" s="121"/>
    </row>
    <row r="49" spans="2:33" x14ac:dyDescent="0.2">
      <c r="B49" s="49" t="str">
        <f>'PLAN Zahlen'!B51</f>
        <v>2.14.</v>
      </c>
      <c r="C49" s="5" t="s">
        <v>88</v>
      </c>
      <c r="E49" s="2">
        <v>0</v>
      </c>
      <c r="F49" s="38"/>
      <c r="G49" s="2"/>
      <c r="H49" s="2"/>
      <c r="I49" s="2"/>
      <c r="J49" s="2"/>
      <c r="K49" s="2"/>
      <c r="L49" s="122"/>
      <c r="M49" s="122"/>
      <c r="N49" s="125">
        <v>-988</v>
      </c>
      <c r="O49" s="122">
        <v>-1233</v>
      </c>
      <c r="P49" s="122">
        <v>-861</v>
      </c>
      <c r="Q49" s="122">
        <v>-449</v>
      </c>
      <c r="R49" s="122">
        <v>-2163</v>
      </c>
      <c r="S49" s="122">
        <v>-971.85</v>
      </c>
      <c r="T49" s="122">
        <v>-3522</v>
      </c>
      <c r="U49" s="122">
        <v>-2112</v>
      </c>
      <c r="V49" s="122">
        <v>-716</v>
      </c>
      <c r="W49" s="122">
        <v>-2540</v>
      </c>
      <c r="X49" s="122">
        <v>-2576</v>
      </c>
      <c r="Y49" s="122">
        <v>-2079</v>
      </c>
      <c r="Z49" s="122">
        <v>-1768</v>
      </c>
      <c r="AA49" s="122">
        <v>-472</v>
      </c>
      <c r="AB49" s="122">
        <v>-2314</v>
      </c>
      <c r="AC49" s="122">
        <v>-938</v>
      </c>
      <c r="AD49" s="122"/>
      <c r="AE49" s="121"/>
    </row>
    <row r="50" spans="2:33" x14ac:dyDescent="0.2">
      <c r="B50" s="49" t="s">
        <v>90</v>
      </c>
      <c r="C50" s="5" t="s">
        <v>89</v>
      </c>
      <c r="E50" s="2">
        <v>0</v>
      </c>
      <c r="F50" s="38"/>
      <c r="G50" s="2"/>
      <c r="H50" s="2"/>
      <c r="I50" s="2"/>
      <c r="J50" s="2"/>
      <c r="K50" s="2"/>
      <c r="L50" s="122"/>
      <c r="M50" s="122"/>
      <c r="N50" s="122"/>
      <c r="O50" s="122">
        <v>-6247</v>
      </c>
      <c r="P50" s="122"/>
      <c r="Q50" s="122"/>
      <c r="R50" s="122">
        <v>-13000</v>
      </c>
      <c r="S50" s="122"/>
      <c r="T50" s="122"/>
      <c r="U50" s="122"/>
      <c r="V50" s="122"/>
      <c r="W50" s="122">
        <v>-16000</v>
      </c>
      <c r="X50" s="122">
        <v>-4000</v>
      </c>
      <c r="Y50" s="122">
        <v>-5000</v>
      </c>
      <c r="Z50" s="122"/>
      <c r="AA50" s="122"/>
      <c r="AB50" s="122"/>
      <c r="AC50" s="122"/>
      <c r="AD50" s="122"/>
      <c r="AE50" s="121"/>
    </row>
    <row r="51" spans="2:33" x14ac:dyDescent="0.2">
      <c r="B51" s="49" t="s">
        <v>100</v>
      </c>
      <c r="C51" s="5" t="s">
        <v>98</v>
      </c>
      <c r="E51" s="2">
        <v>0</v>
      </c>
      <c r="F51" s="38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122">
        <v>-7500</v>
      </c>
      <c r="V51" s="2"/>
      <c r="W51" s="2"/>
      <c r="X51" s="2"/>
      <c r="Y51" s="2"/>
      <c r="Z51" s="2"/>
      <c r="AA51" s="2"/>
      <c r="AB51" s="2"/>
      <c r="AC51" s="2"/>
      <c r="AD51" s="2"/>
    </row>
    <row r="52" spans="2:33" x14ac:dyDescent="0.2">
      <c r="B52" s="49" t="s">
        <v>103</v>
      </c>
      <c r="C52" s="5" t="s">
        <v>104</v>
      </c>
      <c r="E52" s="2">
        <v>0</v>
      </c>
      <c r="F52" s="38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122">
        <v>-1935</v>
      </c>
      <c r="AA52" s="122">
        <f>-3856-5086</f>
        <v>-8942</v>
      </c>
      <c r="AB52" s="122">
        <v>-2131</v>
      </c>
      <c r="AC52" s="122">
        <f>-99-10-25-55-6446</f>
        <v>-6635</v>
      </c>
      <c r="AD52" s="122"/>
      <c r="AE52" s="133"/>
      <c r="AF52" s="133"/>
      <c r="AG52" s="133"/>
    </row>
    <row r="53" spans="2:33" x14ac:dyDescent="0.2">
      <c r="B53" s="49" t="s">
        <v>105</v>
      </c>
      <c r="C53" s="6" t="s">
        <v>106</v>
      </c>
      <c r="E53" s="2"/>
      <c r="F53" s="38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122"/>
      <c r="AB53" s="2"/>
      <c r="AC53" s="122">
        <v>-6495</v>
      </c>
      <c r="AD53" s="2"/>
    </row>
    <row r="54" spans="2:33" ht="12.75" thickBot="1" x14ac:dyDescent="0.25">
      <c r="B54" s="49"/>
      <c r="C54" s="23" t="s">
        <v>14</v>
      </c>
      <c r="D54" s="23"/>
      <c r="E54" s="24"/>
      <c r="F54" s="39">
        <f>SUM(F26:F53)-F36</f>
        <v>0</v>
      </c>
      <c r="G54" s="24">
        <f>SUM(G26:G53)-G36</f>
        <v>0</v>
      </c>
      <c r="H54" s="24">
        <f t="shared" ref="H54:AG54" si="4">SUM(H26:H53)-H36</f>
        <v>0</v>
      </c>
      <c r="I54" s="24">
        <f t="shared" si="4"/>
        <v>0</v>
      </c>
      <c r="J54" s="24">
        <f t="shared" si="4"/>
        <v>0</v>
      </c>
      <c r="K54" s="24">
        <f t="shared" si="4"/>
        <v>0</v>
      </c>
      <c r="L54" s="24">
        <f t="shared" si="4"/>
        <v>0</v>
      </c>
      <c r="M54" s="120">
        <f t="shared" si="4"/>
        <v>-2380</v>
      </c>
      <c r="N54" s="120">
        <f t="shared" si="4"/>
        <v>-4330.6100000000006</v>
      </c>
      <c r="O54" s="120">
        <f t="shared" si="4"/>
        <v>-12049.07</v>
      </c>
      <c r="P54" s="120">
        <f t="shared" si="4"/>
        <v>-13046.24</v>
      </c>
      <c r="Q54" s="120">
        <f t="shared" si="4"/>
        <v>-9413.26</v>
      </c>
      <c r="R54" s="120">
        <f t="shared" si="4"/>
        <v>-38854.959999999999</v>
      </c>
      <c r="S54" s="120">
        <f t="shared" si="4"/>
        <v>-30970.27</v>
      </c>
      <c r="T54" s="120">
        <f t="shared" si="4"/>
        <v>-35866.18</v>
      </c>
      <c r="U54" s="120">
        <f t="shared" si="4"/>
        <v>-46338.75</v>
      </c>
      <c r="V54" s="120">
        <f t="shared" si="4"/>
        <v>-51986.400000000001</v>
      </c>
      <c r="W54" s="120">
        <f t="shared" si="4"/>
        <v>-46000.21</v>
      </c>
      <c r="X54" s="120">
        <f t="shared" si="4"/>
        <v>-25763</v>
      </c>
      <c r="Y54" s="120">
        <f t="shared" si="4"/>
        <v>-33284</v>
      </c>
      <c r="Z54" s="120">
        <f t="shared" si="4"/>
        <v>-29860</v>
      </c>
      <c r="AA54" s="120">
        <f t="shared" si="4"/>
        <v>-14771</v>
      </c>
      <c r="AB54" s="120">
        <f t="shared" si="4"/>
        <v>-25975.879999999997</v>
      </c>
      <c r="AC54" s="120">
        <f t="shared" si="4"/>
        <v>-24604</v>
      </c>
      <c r="AD54" s="120">
        <f t="shared" si="4"/>
        <v>-9550.9200000000019</v>
      </c>
      <c r="AE54" s="120">
        <f t="shared" si="4"/>
        <v>0</v>
      </c>
      <c r="AF54" s="120">
        <f t="shared" si="4"/>
        <v>0</v>
      </c>
      <c r="AG54" s="120">
        <f t="shared" si="4"/>
        <v>0</v>
      </c>
    </row>
    <row r="55" spans="2:33" ht="12.75" thickBot="1" x14ac:dyDescent="0.25">
      <c r="B55" s="49"/>
      <c r="C55" s="56"/>
      <c r="D55" s="56"/>
      <c r="E55" s="57"/>
      <c r="F55" s="53"/>
      <c r="G55" s="57"/>
      <c r="H55" s="57"/>
      <c r="I55" s="57"/>
      <c r="J55" s="56"/>
      <c r="K55" s="56"/>
      <c r="L55" s="56"/>
      <c r="M55" s="127"/>
      <c r="N55" s="127"/>
      <c r="O55" s="127"/>
      <c r="P55" s="127"/>
      <c r="Q55" s="127"/>
      <c r="R55" s="127"/>
      <c r="S55" s="127"/>
      <c r="T55" s="127"/>
      <c r="U55" s="127"/>
      <c r="V55" s="128"/>
      <c r="W55" s="128"/>
      <c r="X55" s="128"/>
      <c r="Y55" s="128"/>
      <c r="Z55" s="128"/>
      <c r="AA55" s="128"/>
      <c r="AB55" s="128"/>
      <c r="AC55" s="128"/>
      <c r="AD55" s="128"/>
      <c r="AE55" s="128"/>
      <c r="AF55" s="128"/>
      <c r="AG55" s="128"/>
    </row>
    <row r="56" spans="2:33" ht="12.75" thickBot="1" x14ac:dyDescent="0.25">
      <c r="B56" s="49" t="s">
        <v>47</v>
      </c>
      <c r="C56" s="54" t="s">
        <v>109</v>
      </c>
      <c r="D56" s="54"/>
      <c r="E56" s="54"/>
      <c r="F56" s="55">
        <f t="shared" ref="F56:AG56" si="5">F25+F54</f>
        <v>0</v>
      </c>
      <c r="G56" s="54">
        <f t="shared" si="5"/>
        <v>0</v>
      </c>
      <c r="H56" s="54">
        <f t="shared" si="5"/>
        <v>0</v>
      </c>
      <c r="I56" s="54">
        <f t="shared" si="5"/>
        <v>0</v>
      </c>
      <c r="J56" s="54">
        <f t="shared" si="5"/>
        <v>0</v>
      </c>
      <c r="K56" s="54">
        <f t="shared" si="5"/>
        <v>0</v>
      </c>
      <c r="L56" s="54">
        <f t="shared" si="5"/>
        <v>0</v>
      </c>
      <c r="M56" s="129">
        <f t="shared" si="5"/>
        <v>44</v>
      </c>
      <c r="N56" s="129">
        <f>N25+N54</f>
        <v>16669.39</v>
      </c>
      <c r="O56" s="129">
        <f t="shared" si="5"/>
        <v>-11636.869999999999</v>
      </c>
      <c r="P56" s="129">
        <f t="shared" si="5"/>
        <v>-4776.8000000000011</v>
      </c>
      <c r="Q56" s="129">
        <f t="shared" si="5"/>
        <v>9254.6999999999989</v>
      </c>
      <c r="R56" s="129">
        <f t="shared" si="5"/>
        <v>4436.239999999998</v>
      </c>
      <c r="S56" s="129">
        <f t="shared" si="5"/>
        <v>-2051.2700000000004</v>
      </c>
      <c r="T56" s="129">
        <f t="shared" si="5"/>
        <v>6240.82</v>
      </c>
      <c r="U56" s="129">
        <f t="shared" si="5"/>
        <v>-1194.4300000000003</v>
      </c>
      <c r="V56" s="129">
        <f t="shared" si="5"/>
        <v>-18795.400000000001</v>
      </c>
      <c r="W56" s="129">
        <f t="shared" si="5"/>
        <v>-417.20999999999913</v>
      </c>
      <c r="X56" s="129">
        <f t="shared" si="5"/>
        <v>48</v>
      </c>
      <c r="Y56" s="129">
        <f t="shared" si="5"/>
        <v>367</v>
      </c>
      <c r="Z56" s="129">
        <f t="shared" si="5"/>
        <v>-3</v>
      </c>
      <c r="AA56" s="129">
        <f t="shared" si="5"/>
        <v>327</v>
      </c>
      <c r="AB56" s="129">
        <f t="shared" si="5"/>
        <v>1023.1200000000026</v>
      </c>
      <c r="AC56" s="129">
        <f t="shared" si="5"/>
        <v>-1344</v>
      </c>
      <c r="AD56" s="129">
        <f t="shared" si="5"/>
        <v>14584.359999999997</v>
      </c>
      <c r="AE56" s="129">
        <f t="shared" si="5"/>
        <v>0</v>
      </c>
      <c r="AF56" s="129">
        <f t="shared" si="5"/>
        <v>0</v>
      </c>
      <c r="AG56" s="129">
        <f t="shared" si="5"/>
        <v>0</v>
      </c>
    </row>
    <row r="57" spans="2:33" s="2" customFormat="1" ht="12.75" thickBot="1" x14ac:dyDescent="0.25">
      <c r="B57" s="49"/>
      <c r="C57" s="12"/>
      <c r="D57" s="12"/>
      <c r="E57" s="12"/>
      <c r="F57" s="53"/>
      <c r="G57" s="12"/>
      <c r="H57" s="12"/>
      <c r="I57" s="12"/>
      <c r="J57" s="12"/>
      <c r="K57" s="12"/>
      <c r="L57" s="12"/>
      <c r="M57" s="130"/>
      <c r="N57" s="130"/>
      <c r="O57" s="130"/>
      <c r="P57" s="130"/>
      <c r="Q57" s="130"/>
      <c r="R57" s="130"/>
      <c r="S57" s="130"/>
      <c r="T57" s="130"/>
      <c r="U57" s="130"/>
      <c r="V57" s="130"/>
      <c r="W57" s="130"/>
      <c r="X57" s="130"/>
      <c r="Y57" s="130"/>
      <c r="Z57" s="130"/>
      <c r="AA57" s="130"/>
      <c r="AB57" s="130"/>
      <c r="AC57" s="130"/>
      <c r="AD57" s="130"/>
      <c r="AE57" s="130"/>
      <c r="AF57" s="130"/>
      <c r="AG57" s="130"/>
    </row>
    <row r="58" spans="2:33" ht="12.75" thickBot="1" x14ac:dyDescent="0.25">
      <c r="B58" s="49" t="s">
        <v>48</v>
      </c>
      <c r="C58" s="22" t="s">
        <v>57</v>
      </c>
      <c r="D58" s="51"/>
      <c r="E58" s="51"/>
      <c r="F58" s="52">
        <f>E58+F56</f>
        <v>0</v>
      </c>
      <c r="G58" s="22">
        <f t="shared" ref="G58:AG58" si="6">F58+G56</f>
        <v>0</v>
      </c>
      <c r="H58" s="22">
        <f t="shared" si="6"/>
        <v>0</v>
      </c>
      <c r="I58" s="22">
        <f t="shared" si="6"/>
        <v>0</v>
      </c>
      <c r="J58" s="22">
        <f t="shared" si="6"/>
        <v>0</v>
      </c>
      <c r="K58" s="22">
        <f t="shared" si="6"/>
        <v>0</v>
      </c>
      <c r="L58" s="22">
        <f t="shared" si="6"/>
        <v>0</v>
      </c>
      <c r="M58" s="131">
        <f t="shared" si="6"/>
        <v>44</v>
      </c>
      <c r="N58" s="131">
        <f t="shared" si="6"/>
        <v>16713.39</v>
      </c>
      <c r="O58" s="131">
        <f t="shared" si="6"/>
        <v>5076.5200000000004</v>
      </c>
      <c r="P58" s="131">
        <f t="shared" si="6"/>
        <v>299.71999999999935</v>
      </c>
      <c r="Q58" s="131">
        <f t="shared" si="6"/>
        <v>9554.4199999999983</v>
      </c>
      <c r="R58" s="131">
        <f t="shared" si="6"/>
        <v>13990.659999999996</v>
      </c>
      <c r="S58" s="131">
        <f t="shared" si="6"/>
        <v>11939.389999999996</v>
      </c>
      <c r="T58" s="131">
        <f t="shared" si="6"/>
        <v>18180.209999999995</v>
      </c>
      <c r="U58" s="131">
        <f t="shared" si="6"/>
        <v>16985.779999999995</v>
      </c>
      <c r="V58" s="131">
        <f t="shared" si="6"/>
        <v>-1809.6200000000063</v>
      </c>
      <c r="W58" s="131">
        <f t="shared" si="6"/>
        <v>-2226.8300000000054</v>
      </c>
      <c r="X58" s="131">
        <f t="shared" si="6"/>
        <v>-2178.8300000000054</v>
      </c>
      <c r="Y58" s="131">
        <f t="shared" si="6"/>
        <v>-1811.8300000000054</v>
      </c>
      <c r="Z58" s="131">
        <f t="shared" si="6"/>
        <v>-1814.8300000000054</v>
      </c>
      <c r="AA58" s="131">
        <f t="shared" si="6"/>
        <v>-1487.8300000000054</v>
      </c>
      <c r="AB58" s="131">
        <f t="shared" si="6"/>
        <v>-464.71000000000276</v>
      </c>
      <c r="AC58" s="131">
        <f t="shared" si="6"/>
        <v>-1808.7100000000028</v>
      </c>
      <c r="AD58" s="131">
        <f t="shared" si="6"/>
        <v>12775.649999999994</v>
      </c>
      <c r="AE58" s="131">
        <f t="shared" si="6"/>
        <v>12775.649999999994</v>
      </c>
      <c r="AF58" s="131">
        <f t="shared" si="6"/>
        <v>12775.649999999994</v>
      </c>
      <c r="AG58" s="131">
        <f t="shared" si="6"/>
        <v>12775.649999999994</v>
      </c>
    </row>
    <row r="59" spans="2:33" x14ac:dyDescent="0.2">
      <c r="B59" s="49"/>
      <c r="F59" s="36"/>
      <c r="M59" s="121"/>
      <c r="N59" s="121"/>
      <c r="O59" s="121"/>
      <c r="P59" s="121"/>
      <c r="Q59" s="121"/>
      <c r="R59" s="121"/>
      <c r="S59" s="121"/>
      <c r="T59" s="121"/>
      <c r="U59" s="121"/>
      <c r="V59" s="121"/>
      <c r="W59" s="121"/>
      <c r="X59" s="121"/>
      <c r="Y59" s="121"/>
      <c r="Z59" s="121"/>
      <c r="AA59" s="121"/>
      <c r="AB59" s="121"/>
      <c r="AC59" s="121"/>
      <c r="AD59" s="121"/>
      <c r="AE59" s="121"/>
      <c r="AF59" s="121"/>
      <c r="AG59" s="121"/>
    </row>
    <row r="60" spans="2:33" ht="12.75" thickBot="1" x14ac:dyDescent="0.25">
      <c r="B60" s="49" t="s">
        <v>56</v>
      </c>
      <c r="C60" s="22" t="s">
        <v>15</v>
      </c>
      <c r="D60" s="22"/>
      <c r="E60" s="22">
        <f>E7</f>
        <v>0</v>
      </c>
      <c r="F60" s="42">
        <f t="shared" ref="F60:AG60" si="7">F7+F56</f>
        <v>0</v>
      </c>
      <c r="G60" s="22">
        <f t="shared" si="7"/>
        <v>0</v>
      </c>
      <c r="H60" s="22">
        <f t="shared" si="7"/>
        <v>0</v>
      </c>
      <c r="I60" s="22">
        <f t="shared" si="7"/>
        <v>0</v>
      </c>
      <c r="J60" s="22">
        <f t="shared" si="7"/>
        <v>0</v>
      </c>
      <c r="K60" s="22">
        <f t="shared" si="7"/>
        <v>0</v>
      </c>
      <c r="L60" s="22">
        <f t="shared" si="7"/>
        <v>0</v>
      </c>
      <c r="M60" s="131">
        <f t="shared" si="7"/>
        <v>44</v>
      </c>
      <c r="N60" s="131">
        <f t="shared" si="7"/>
        <v>16713.39</v>
      </c>
      <c r="O60" s="131">
        <f t="shared" si="7"/>
        <v>5076.5200000000004</v>
      </c>
      <c r="P60" s="131">
        <f t="shared" si="7"/>
        <v>299.71999999999935</v>
      </c>
      <c r="Q60" s="131">
        <f t="shared" si="7"/>
        <v>9554.4199999999983</v>
      </c>
      <c r="R60" s="131">
        <f>R7+R56</f>
        <v>13990.659999999996</v>
      </c>
      <c r="S60" s="131">
        <f t="shared" si="7"/>
        <v>11939.389999999996</v>
      </c>
      <c r="T60" s="131">
        <f t="shared" si="7"/>
        <v>18180.209999999995</v>
      </c>
      <c r="U60" s="131">
        <f t="shared" si="7"/>
        <v>16985.779999999995</v>
      </c>
      <c r="V60" s="131">
        <f t="shared" si="7"/>
        <v>-1809.6200000000063</v>
      </c>
      <c r="W60" s="131">
        <f t="shared" si="7"/>
        <v>-2226.8300000000054</v>
      </c>
      <c r="X60" s="131">
        <f t="shared" si="7"/>
        <v>-2178.8300000000054</v>
      </c>
      <c r="Y60" s="131">
        <f t="shared" si="7"/>
        <v>-1811.8300000000054</v>
      </c>
      <c r="Z60" s="131">
        <f t="shared" si="7"/>
        <v>-1814.8300000000054</v>
      </c>
      <c r="AA60" s="131">
        <f t="shared" si="7"/>
        <v>-1487.8300000000054</v>
      </c>
      <c r="AB60" s="131">
        <f t="shared" si="7"/>
        <v>-464.71000000000276</v>
      </c>
      <c r="AC60" s="131">
        <f t="shared" si="7"/>
        <v>-1808.7100000000028</v>
      </c>
      <c r="AD60" s="131">
        <f t="shared" si="7"/>
        <v>12775.649999999994</v>
      </c>
      <c r="AE60" s="131">
        <f t="shared" si="7"/>
        <v>12775.649999999994</v>
      </c>
      <c r="AF60" s="131">
        <f t="shared" si="7"/>
        <v>12775.649999999994</v>
      </c>
      <c r="AG60" s="131">
        <f t="shared" si="7"/>
        <v>12775.649999999994</v>
      </c>
    </row>
    <row r="61" spans="2:33" x14ac:dyDescent="0.2">
      <c r="B61" s="19"/>
      <c r="M61" s="121"/>
      <c r="N61" s="121"/>
      <c r="O61" s="121"/>
      <c r="P61" s="121"/>
      <c r="Q61" s="121"/>
      <c r="R61" s="121"/>
      <c r="S61" s="121"/>
      <c r="T61" s="121"/>
      <c r="U61" s="121"/>
      <c r="V61" s="121"/>
      <c r="W61" s="121"/>
      <c r="X61" s="121"/>
      <c r="Y61" s="121"/>
      <c r="Z61" s="121"/>
      <c r="AA61" s="121"/>
      <c r="AB61" s="121"/>
      <c r="AC61" s="121"/>
      <c r="AD61" s="121"/>
      <c r="AE61" s="121"/>
      <c r="AF61" s="121"/>
      <c r="AG61" s="121"/>
    </row>
    <row r="62" spans="2:33" x14ac:dyDescent="0.2">
      <c r="B62" s="19"/>
      <c r="M62" s="121"/>
      <c r="N62" s="121"/>
      <c r="O62" s="121"/>
      <c r="P62" s="121"/>
      <c r="Q62" s="121"/>
      <c r="R62" s="121"/>
      <c r="S62" s="121"/>
      <c r="T62" s="121"/>
      <c r="U62" s="121"/>
      <c r="V62" s="121"/>
      <c r="W62" s="121"/>
      <c r="X62" s="121"/>
      <c r="Y62" s="121"/>
      <c r="Z62" s="121"/>
      <c r="AA62" s="121"/>
      <c r="AB62" s="121"/>
      <c r="AC62" s="121"/>
      <c r="AD62" s="121"/>
      <c r="AE62" s="121"/>
      <c r="AF62" s="121"/>
      <c r="AG62" s="121"/>
    </row>
    <row r="67" spans="6:6" x14ac:dyDescent="0.2">
      <c r="F67" t="s">
        <v>49</v>
      </c>
    </row>
  </sheetData>
  <mergeCells count="2">
    <mergeCell ref="K2:V2"/>
    <mergeCell ref="W2:AG2"/>
  </mergeCells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AH62"/>
  <sheetViews>
    <sheetView workbookViewId="0">
      <pane xSplit="4" topLeftCell="E1" activePane="topRight" state="frozen"/>
      <selection pane="topRight" activeCell="F47" sqref="F47"/>
    </sheetView>
  </sheetViews>
  <sheetFormatPr baseColWidth="10" defaultColWidth="10.7109375" defaultRowHeight="12" x14ac:dyDescent="0.2"/>
  <cols>
    <col min="1" max="1" width="4.140625" customWidth="1"/>
    <col min="2" max="2" width="4.28515625" customWidth="1"/>
    <col min="3" max="3" width="18.42578125" customWidth="1"/>
    <col min="4" max="4" width="16.28515625" customWidth="1"/>
    <col min="5" max="5" width="12.5703125" bestFit="1" customWidth="1"/>
    <col min="6" max="9" width="10" customWidth="1"/>
    <col min="10" max="10" width="9.7109375" bestFit="1" customWidth="1"/>
    <col min="11" max="11" width="10" bestFit="1" customWidth="1"/>
    <col min="12" max="12" width="9.7109375" bestFit="1" customWidth="1"/>
    <col min="13" max="14" width="10" bestFit="1" customWidth="1"/>
    <col min="15" max="17" width="9.7109375" bestFit="1" customWidth="1"/>
    <col min="18" max="19" width="10" bestFit="1" customWidth="1"/>
    <col min="20" max="20" width="9.7109375" bestFit="1" customWidth="1"/>
    <col min="21" max="22" width="10" bestFit="1" customWidth="1"/>
  </cols>
  <sheetData>
    <row r="2" spans="2:34" ht="12.75" thickBot="1" x14ac:dyDescent="0.25">
      <c r="B2" s="99" t="s">
        <v>67</v>
      </c>
      <c r="C2" s="99"/>
    </row>
    <row r="3" spans="2:34" x14ac:dyDescent="0.2">
      <c r="E3" s="85" t="s">
        <v>52</v>
      </c>
      <c r="F3" s="34"/>
      <c r="G3" s="62"/>
      <c r="H3" s="62"/>
      <c r="I3" s="62"/>
      <c r="J3" s="62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</row>
    <row r="4" spans="2:34" x14ac:dyDescent="0.2">
      <c r="E4" s="85" t="s">
        <v>53</v>
      </c>
      <c r="F4" s="141" t="str">
        <f>'PLAN Zahlen'!F7</f>
        <v>August</v>
      </c>
      <c r="G4" s="142"/>
      <c r="H4" s="141" t="str">
        <f>'PLAN Zahlen'!G7</f>
        <v>September</v>
      </c>
      <c r="I4" s="142"/>
      <c r="J4" s="141" t="str">
        <f>'PLAN Zahlen'!H7</f>
        <v>Oktober</v>
      </c>
      <c r="K4" s="142"/>
      <c r="L4" s="141" t="str">
        <f>'PLAN Zahlen'!I7</f>
        <v>November</v>
      </c>
      <c r="M4" s="142"/>
      <c r="N4" s="141" t="str">
        <f>'PLAN Zahlen'!J7</f>
        <v>Dezember</v>
      </c>
      <c r="O4" s="142"/>
      <c r="P4" s="141" t="str">
        <f>'PLAN Zahlen'!K7</f>
        <v>Januar</v>
      </c>
      <c r="Q4" s="142"/>
      <c r="R4" s="141" t="str">
        <f>'PLAN Zahlen'!L7</f>
        <v>Februar</v>
      </c>
      <c r="S4" s="142"/>
      <c r="T4" s="141" t="str">
        <f>'PLAN Zahlen'!M7</f>
        <v>März</v>
      </c>
      <c r="U4" s="142"/>
      <c r="V4" s="141" t="str">
        <f>'PLAN Zahlen'!N7</f>
        <v>April</v>
      </c>
      <c r="W4" s="142"/>
      <c r="X4" s="141" t="str">
        <f>'PLAN Zahlen'!O7</f>
        <v>Mai</v>
      </c>
      <c r="Y4" s="142"/>
      <c r="Z4" s="141" t="str">
        <f>'PLAN Zahlen'!P7</f>
        <v>Juni</v>
      </c>
      <c r="AA4" s="142"/>
      <c r="AB4" s="141" t="str">
        <f>'PLAN Zahlen'!Q7</f>
        <v>Juli</v>
      </c>
      <c r="AC4" s="142"/>
      <c r="AD4" s="141" t="str">
        <f>'PLAN Zahlen'!R7</f>
        <v>August</v>
      </c>
      <c r="AE4" s="142"/>
      <c r="AF4" s="141" t="str">
        <f>'PLAN Zahlen'!S7</f>
        <v>September</v>
      </c>
      <c r="AG4" s="142"/>
      <c r="AH4" s="72"/>
    </row>
    <row r="5" spans="2:34" ht="12.75" thickBot="1" x14ac:dyDescent="0.25">
      <c r="E5" s="86"/>
      <c r="F5" s="65" t="s">
        <v>62</v>
      </c>
      <c r="G5" s="66" t="s">
        <v>63</v>
      </c>
      <c r="H5" s="65" t="s">
        <v>62</v>
      </c>
      <c r="I5" s="66" t="s">
        <v>63</v>
      </c>
      <c r="J5" s="65" t="s">
        <v>62</v>
      </c>
      <c r="K5" s="66" t="s">
        <v>63</v>
      </c>
      <c r="L5" s="65" t="s">
        <v>62</v>
      </c>
      <c r="M5" s="66" t="s">
        <v>63</v>
      </c>
      <c r="N5" s="65" t="s">
        <v>62</v>
      </c>
      <c r="O5" s="66" t="s">
        <v>63</v>
      </c>
      <c r="P5" s="65" t="s">
        <v>62</v>
      </c>
      <c r="Q5" s="66" t="s">
        <v>63</v>
      </c>
      <c r="R5" s="65" t="s">
        <v>62</v>
      </c>
      <c r="S5" s="66" t="s">
        <v>63</v>
      </c>
      <c r="T5" s="65" t="s">
        <v>62</v>
      </c>
      <c r="U5" s="66" t="s">
        <v>63</v>
      </c>
      <c r="V5" s="65" t="s">
        <v>62</v>
      </c>
      <c r="W5" s="66" t="s">
        <v>63</v>
      </c>
      <c r="X5" s="65" t="s">
        <v>62</v>
      </c>
      <c r="Y5" s="66" t="s">
        <v>63</v>
      </c>
      <c r="Z5" s="36"/>
      <c r="AB5" s="36"/>
      <c r="AD5" s="36"/>
      <c r="AF5" s="36"/>
      <c r="AH5" s="36"/>
    </row>
    <row r="6" spans="2:34" ht="12.75" thickBot="1" x14ac:dyDescent="0.25">
      <c r="B6" s="49"/>
      <c r="C6" s="15" t="s">
        <v>0</v>
      </c>
      <c r="D6" s="9"/>
      <c r="E6" s="87">
        <f>'PLAN Zahlen'!E9</f>
        <v>0</v>
      </c>
      <c r="F6" s="37">
        <f>'PLAN Zahlen'!F9</f>
        <v>0</v>
      </c>
      <c r="G6" s="10">
        <f>'IST Zahlen'!F7</f>
        <v>0</v>
      </c>
      <c r="H6" s="37">
        <f>'PLAN Zahlen'!G9</f>
        <v>1334.9200000000019</v>
      </c>
      <c r="I6" s="10">
        <f>'IST Zahlen'!G7</f>
        <v>0</v>
      </c>
      <c r="J6" s="37">
        <f>'PLAN Zahlen'!H9</f>
        <v>3941.9200000000019</v>
      </c>
      <c r="K6" s="10">
        <f>'IST Zahlen'!H7</f>
        <v>0</v>
      </c>
      <c r="L6" s="37">
        <f>'PLAN Zahlen'!I9</f>
        <v>6282.9200000000019</v>
      </c>
      <c r="M6" s="10">
        <f>'IST Zahlen'!I7</f>
        <v>0</v>
      </c>
      <c r="N6" s="37">
        <f>'PLAN Zahlen'!J9</f>
        <v>8623.9200000000019</v>
      </c>
      <c r="O6" s="10">
        <f>'IST Zahlen'!J7</f>
        <v>0</v>
      </c>
      <c r="P6" s="37">
        <f>'PLAN Zahlen'!K9</f>
        <v>10964.920000000002</v>
      </c>
      <c r="Q6" s="10">
        <f>'IST Zahlen'!K7</f>
        <v>0</v>
      </c>
      <c r="R6" s="37">
        <f>'PLAN Zahlen'!L9</f>
        <v>11855.920000000002</v>
      </c>
      <c r="S6" s="10">
        <f>'IST Zahlen'!L7</f>
        <v>0</v>
      </c>
      <c r="T6" s="37">
        <f>'PLAN Zahlen'!M9</f>
        <v>12746.920000000002</v>
      </c>
      <c r="U6" s="10">
        <f>'IST Zahlen'!M7</f>
        <v>0</v>
      </c>
      <c r="V6" s="37">
        <f>'PLAN Zahlen'!N9</f>
        <v>13637.920000000002</v>
      </c>
      <c r="W6" s="10">
        <f>'IST Zahlen'!N7</f>
        <v>44</v>
      </c>
      <c r="X6" s="37">
        <f>'PLAN Zahlen'!O9</f>
        <v>14528.920000000002</v>
      </c>
      <c r="Y6" s="10">
        <f>'IST Zahlen'!O7</f>
        <v>16713.39</v>
      </c>
      <c r="Z6" s="37">
        <f>'PLAN Zahlen'!P9</f>
        <v>15419.920000000002</v>
      </c>
      <c r="AA6" s="10">
        <f>'IST Zahlen'!P7</f>
        <v>5076.5200000000004</v>
      </c>
      <c r="AB6" s="37">
        <f>'PLAN Zahlen'!Q9</f>
        <v>16310.920000000002</v>
      </c>
      <c r="AC6" s="10">
        <f>'IST Zahlen'!Q7</f>
        <v>299.71999999999935</v>
      </c>
      <c r="AD6" s="37">
        <f>'PLAN Zahlen'!R9</f>
        <v>17201.920000000002</v>
      </c>
      <c r="AE6" s="10">
        <f>'IST Zahlen'!R7</f>
        <v>9554.4199999999983</v>
      </c>
      <c r="AF6" s="37">
        <f>'PLAN Zahlen'!S9</f>
        <v>18092.920000000002</v>
      </c>
      <c r="AG6" s="10">
        <f>'IST Zahlen'!S7</f>
        <v>13990.659999999996</v>
      </c>
      <c r="AH6" s="37"/>
    </row>
    <row r="7" spans="2:34" x14ac:dyDescent="0.2">
      <c r="B7" s="49"/>
      <c r="E7" s="86"/>
      <c r="F7" s="36"/>
      <c r="G7" s="7"/>
      <c r="H7" s="36"/>
      <c r="J7" s="36"/>
      <c r="L7" s="36"/>
      <c r="N7" s="36"/>
      <c r="P7" s="36"/>
      <c r="R7" s="36"/>
      <c r="T7" s="36"/>
      <c r="V7" s="36"/>
      <c r="X7" s="36"/>
      <c r="Z7" s="36"/>
      <c r="AB7" s="36"/>
      <c r="AD7" s="36"/>
      <c r="AF7" s="36"/>
      <c r="AH7" s="36"/>
    </row>
    <row r="8" spans="2:34" x14ac:dyDescent="0.2">
      <c r="B8" s="49" t="s">
        <v>23</v>
      </c>
      <c r="C8" s="3" t="s">
        <v>1</v>
      </c>
      <c r="E8" s="86"/>
      <c r="F8" s="36">
        <f>'PLAN Zahlen'!F11</f>
        <v>0</v>
      </c>
      <c r="G8" s="7">
        <f>'IST Zahlen'!F9</f>
        <v>0</v>
      </c>
      <c r="H8" s="36">
        <f>'PLAN Zahlen'!G11</f>
        <v>0</v>
      </c>
      <c r="I8" s="7">
        <f>'IST Zahlen'!G9</f>
        <v>0</v>
      </c>
      <c r="J8" s="36">
        <f>'PLAN Zahlen'!H11</f>
        <v>0</v>
      </c>
      <c r="K8" s="7">
        <f>'IST Zahlen'!H9</f>
        <v>0</v>
      </c>
      <c r="L8" s="36">
        <f>'PLAN Zahlen'!I11</f>
        <v>0</v>
      </c>
      <c r="M8" s="7">
        <f>'IST Zahlen'!I9</f>
        <v>0</v>
      </c>
      <c r="N8" s="36">
        <f>'PLAN Zahlen'!J11</f>
        <v>0</v>
      </c>
      <c r="O8" s="7">
        <f>'IST Zahlen'!J9</f>
        <v>0</v>
      </c>
      <c r="P8" s="36">
        <f>'PLAN Zahlen'!K11</f>
        <v>0</v>
      </c>
      <c r="Q8" s="7">
        <f>'IST Zahlen'!K9</f>
        <v>0</v>
      </c>
      <c r="R8" s="36">
        <f>'PLAN Zahlen'!L11</f>
        <v>0</v>
      </c>
      <c r="S8" s="7">
        <f>'IST Zahlen'!L9</f>
        <v>0</v>
      </c>
      <c r="T8" s="36">
        <f>'PLAN Zahlen'!M11</f>
        <v>0</v>
      </c>
      <c r="U8" s="7">
        <f>'IST Zahlen'!M9</f>
        <v>0</v>
      </c>
      <c r="V8" s="36">
        <f>'PLAN Zahlen'!N11</f>
        <v>0</v>
      </c>
      <c r="W8" s="7">
        <f>'IST Zahlen'!N9</f>
        <v>0</v>
      </c>
      <c r="X8" s="36">
        <f>'PLAN Zahlen'!O11</f>
        <v>0</v>
      </c>
      <c r="Y8" s="7">
        <f>'IST Zahlen'!O9</f>
        <v>0</v>
      </c>
      <c r="Z8" s="36">
        <f>'PLAN Zahlen'!P11</f>
        <v>0</v>
      </c>
      <c r="AA8" s="7">
        <f>'IST Zahlen'!P9</f>
        <v>0</v>
      </c>
      <c r="AB8" s="36">
        <f>'PLAN Zahlen'!Q11</f>
        <v>0</v>
      </c>
      <c r="AC8" s="7">
        <f>'IST Zahlen'!Q9</f>
        <v>0</v>
      </c>
      <c r="AD8" s="36">
        <f>'PLAN Zahlen'!R11</f>
        <v>0</v>
      </c>
      <c r="AE8" s="7">
        <f>'IST Zahlen'!R9</f>
        <v>0</v>
      </c>
      <c r="AF8" s="36">
        <f>'PLAN Zahlen'!S11</f>
        <v>0</v>
      </c>
      <c r="AG8" s="7">
        <f>'IST Zahlen'!S9</f>
        <v>0</v>
      </c>
      <c r="AH8" s="36"/>
    </row>
    <row r="9" spans="2:34" x14ac:dyDescent="0.2">
      <c r="B9" s="49"/>
      <c r="C9" s="3"/>
      <c r="E9" s="86"/>
      <c r="F9" s="36">
        <f>'PLAN Zahlen'!F12</f>
        <v>0</v>
      </c>
      <c r="G9" s="7">
        <f>'IST Zahlen'!F10</f>
        <v>0</v>
      </c>
      <c r="H9" s="36">
        <f>'PLAN Zahlen'!G12</f>
        <v>0</v>
      </c>
      <c r="I9" s="7">
        <f>'IST Zahlen'!G10</f>
        <v>0</v>
      </c>
      <c r="J9" s="36">
        <f>'PLAN Zahlen'!H12</f>
        <v>0</v>
      </c>
      <c r="K9" s="7">
        <f>'IST Zahlen'!H10</f>
        <v>0</v>
      </c>
      <c r="L9" s="36">
        <f>'PLAN Zahlen'!I12</f>
        <v>0</v>
      </c>
      <c r="M9" s="7">
        <f>'IST Zahlen'!I10</f>
        <v>0</v>
      </c>
      <c r="N9" s="36">
        <f>'PLAN Zahlen'!J12</f>
        <v>0</v>
      </c>
      <c r="O9" s="7">
        <f>'IST Zahlen'!J10</f>
        <v>0</v>
      </c>
      <c r="P9" s="36">
        <f>'PLAN Zahlen'!K12</f>
        <v>0</v>
      </c>
      <c r="Q9" s="7">
        <f>'IST Zahlen'!K10</f>
        <v>0</v>
      </c>
      <c r="R9" s="36">
        <f>'PLAN Zahlen'!L12</f>
        <v>0</v>
      </c>
      <c r="S9" s="7">
        <f>'IST Zahlen'!L10</f>
        <v>0</v>
      </c>
      <c r="T9" s="36">
        <f>'PLAN Zahlen'!M12</f>
        <v>0</v>
      </c>
      <c r="U9" s="7">
        <f>'IST Zahlen'!M10</f>
        <v>0</v>
      </c>
      <c r="V9" s="36">
        <f>'PLAN Zahlen'!N12</f>
        <v>0</v>
      </c>
      <c r="W9" s="7">
        <f>'IST Zahlen'!N10</f>
        <v>0</v>
      </c>
      <c r="X9" s="36">
        <f>'PLAN Zahlen'!O12</f>
        <v>0</v>
      </c>
      <c r="Y9" s="7">
        <f>'IST Zahlen'!O10</f>
        <v>0</v>
      </c>
      <c r="Z9" s="36">
        <f>'PLAN Zahlen'!P12</f>
        <v>0</v>
      </c>
      <c r="AA9" s="7">
        <f>'IST Zahlen'!P10</f>
        <v>0</v>
      </c>
      <c r="AB9" s="36">
        <f>'PLAN Zahlen'!Q12</f>
        <v>0</v>
      </c>
      <c r="AC9" s="7">
        <f>'IST Zahlen'!Q10</f>
        <v>0</v>
      </c>
      <c r="AD9" s="36">
        <f>'PLAN Zahlen'!R12</f>
        <v>0</v>
      </c>
      <c r="AE9" s="7">
        <f>'IST Zahlen'!R10</f>
        <v>0</v>
      </c>
      <c r="AF9" s="36">
        <f>'PLAN Zahlen'!S12</f>
        <v>0</v>
      </c>
      <c r="AG9" s="7">
        <f>'IST Zahlen'!S10</f>
        <v>0</v>
      </c>
      <c r="AH9" s="36"/>
    </row>
    <row r="10" spans="2:34" x14ac:dyDescent="0.2">
      <c r="B10" s="49" t="str">
        <f>'PLAN Zahlen'!B13</f>
        <v>1.1.</v>
      </c>
      <c r="C10" s="5" t="str">
        <f>'PLAN Zahlen'!C13</f>
        <v>Neukunden (Leistung ab Insolvenzantrag)</v>
      </c>
      <c r="E10" s="86"/>
      <c r="F10" s="36">
        <f>'PLAN Zahlen'!F13</f>
        <v>0</v>
      </c>
      <c r="G10" s="7">
        <f>'IST Zahlen'!F11</f>
        <v>0</v>
      </c>
      <c r="H10" s="36">
        <f>'PLAN Zahlen'!G13</f>
        <v>0</v>
      </c>
      <c r="I10" s="7">
        <f>'IST Zahlen'!G11</f>
        <v>0</v>
      </c>
      <c r="J10" s="36">
        <f>'PLAN Zahlen'!H13</f>
        <v>0</v>
      </c>
      <c r="K10" s="7">
        <f>'IST Zahlen'!H11</f>
        <v>0</v>
      </c>
      <c r="L10" s="36">
        <f>'PLAN Zahlen'!I13</f>
        <v>0</v>
      </c>
      <c r="M10" s="7">
        <f>'IST Zahlen'!I11</f>
        <v>0</v>
      </c>
      <c r="N10" s="36">
        <f>'PLAN Zahlen'!J13</f>
        <v>0</v>
      </c>
      <c r="O10" s="7">
        <f>'IST Zahlen'!J11</f>
        <v>0</v>
      </c>
      <c r="P10" s="36">
        <f>'PLAN Zahlen'!K13</f>
        <v>0</v>
      </c>
      <c r="Q10" s="7">
        <f>'IST Zahlen'!K11</f>
        <v>0</v>
      </c>
      <c r="R10" s="36">
        <f>'PLAN Zahlen'!L13</f>
        <v>0</v>
      </c>
      <c r="S10" s="7">
        <f>'IST Zahlen'!L11</f>
        <v>0</v>
      </c>
      <c r="T10" s="36">
        <f>'PLAN Zahlen'!M13</f>
        <v>0</v>
      </c>
      <c r="U10" s="7">
        <f>'IST Zahlen'!M11</f>
        <v>0</v>
      </c>
      <c r="V10" s="36">
        <f>'PLAN Zahlen'!N13</f>
        <v>0</v>
      </c>
      <c r="W10" s="7">
        <f>'IST Zahlen'!N11</f>
        <v>0</v>
      </c>
      <c r="X10" s="36">
        <f>'PLAN Zahlen'!O13</f>
        <v>0</v>
      </c>
      <c r="Y10" s="7">
        <f>'IST Zahlen'!O11</f>
        <v>0</v>
      </c>
      <c r="Z10" s="36">
        <f>'PLAN Zahlen'!P13</f>
        <v>0</v>
      </c>
      <c r="AA10" s="7">
        <f>'IST Zahlen'!P11</f>
        <v>447.44</v>
      </c>
      <c r="AB10" s="36">
        <f>'PLAN Zahlen'!Q13</f>
        <v>0</v>
      </c>
      <c r="AC10" s="7">
        <f>'IST Zahlen'!Q11</f>
        <v>0</v>
      </c>
      <c r="AD10" s="36">
        <f>'PLAN Zahlen'!R13</f>
        <v>0</v>
      </c>
      <c r="AE10" s="7">
        <f>'IST Zahlen'!R11</f>
        <v>0</v>
      </c>
      <c r="AF10" s="36">
        <f>'PLAN Zahlen'!S13</f>
        <v>0</v>
      </c>
      <c r="AG10" s="7">
        <f>'IST Zahlen'!S11</f>
        <v>0</v>
      </c>
      <c r="AH10" s="36"/>
    </row>
    <row r="11" spans="2:34" x14ac:dyDescent="0.2">
      <c r="B11" s="49">
        <f>'PLAN Zahlen'!B14</f>
        <v>0</v>
      </c>
      <c r="C11" s="5" t="str">
        <f>'PLAN Zahlen'!C14</f>
        <v xml:space="preserve">Kundeneinzahlungen </v>
      </c>
      <c r="E11" s="86">
        <v>0</v>
      </c>
      <c r="F11" s="36">
        <f>'PLAN Zahlen'!F14</f>
        <v>0</v>
      </c>
      <c r="G11" s="7">
        <f>'IST Zahlen'!F12</f>
        <v>0</v>
      </c>
      <c r="H11" s="36">
        <f>'PLAN Zahlen'!G14</f>
        <v>0</v>
      </c>
      <c r="I11" s="7">
        <f>'IST Zahlen'!G12</f>
        <v>0</v>
      </c>
      <c r="J11" s="36">
        <f>'PLAN Zahlen'!H14</f>
        <v>0</v>
      </c>
      <c r="K11" s="7">
        <f>'IST Zahlen'!H12</f>
        <v>0</v>
      </c>
      <c r="L11" s="36">
        <f>'PLAN Zahlen'!I14</f>
        <v>0</v>
      </c>
      <c r="M11" s="7">
        <f>'IST Zahlen'!I12</f>
        <v>0</v>
      </c>
      <c r="N11" s="36">
        <f>'PLAN Zahlen'!J14</f>
        <v>0</v>
      </c>
      <c r="O11" s="7">
        <f>'IST Zahlen'!J12</f>
        <v>0</v>
      </c>
      <c r="P11" s="36">
        <f>'PLAN Zahlen'!K14</f>
        <v>0</v>
      </c>
      <c r="Q11" s="7">
        <f>'IST Zahlen'!K12</f>
        <v>0</v>
      </c>
      <c r="R11" s="36">
        <f>'PLAN Zahlen'!L14</f>
        <v>0</v>
      </c>
      <c r="S11" s="7">
        <f>'IST Zahlen'!L12</f>
        <v>0</v>
      </c>
      <c r="T11" s="36">
        <f>'PLAN Zahlen'!M14</f>
        <v>0</v>
      </c>
      <c r="U11" s="7">
        <f>'IST Zahlen'!M12</f>
        <v>0</v>
      </c>
      <c r="V11" s="36">
        <f>'PLAN Zahlen'!N14</f>
        <v>0</v>
      </c>
      <c r="W11" s="7">
        <f>'IST Zahlen'!N12</f>
        <v>0</v>
      </c>
      <c r="X11" s="36">
        <f>'PLAN Zahlen'!O14</f>
        <v>0</v>
      </c>
      <c r="Y11" s="7">
        <f>'IST Zahlen'!O12</f>
        <v>0</v>
      </c>
      <c r="Z11" s="36">
        <f>'PLAN Zahlen'!P14</f>
        <v>0</v>
      </c>
      <c r="AA11" s="7">
        <f>'IST Zahlen'!P12</f>
        <v>0</v>
      </c>
      <c r="AB11" s="36">
        <f>'PLAN Zahlen'!Q14</f>
        <v>0</v>
      </c>
      <c r="AC11" s="7">
        <f>'IST Zahlen'!Q12</f>
        <v>0</v>
      </c>
      <c r="AD11" s="36">
        <f>'PLAN Zahlen'!R14</f>
        <v>0</v>
      </c>
      <c r="AE11" s="7">
        <f>'IST Zahlen'!R12</f>
        <v>0</v>
      </c>
      <c r="AF11" s="36">
        <f>'PLAN Zahlen'!S14</f>
        <v>0</v>
      </c>
      <c r="AG11" s="7">
        <f>'IST Zahlen'!S12</f>
        <v>0</v>
      </c>
      <c r="AH11" s="36"/>
    </row>
    <row r="12" spans="2:34" x14ac:dyDescent="0.2">
      <c r="B12" s="49">
        <f>'PLAN Zahlen'!B15</f>
        <v>0</v>
      </c>
      <c r="C12" s="5" t="str">
        <f>'PLAN Zahlen'!C15</f>
        <v>Factoring</v>
      </c>
      <c r="E12" s="86">
        <v>0</v>
      </c>
      <c r="F12" s="36">
        <f>'PLAN Zahlen'!F15</f>
        <v>0</v>
      </c>
      <c r="G12" s="7">
        <f>'IST Zahlen'!F13</f>
        <v>0</v>
      </c>
      <c r="H12" s="36">
        <f>'PLAN Zahlen'!G15</f>
        <v>0</v>
      </c>
      <c r="I12" s="7">
        <f>'IST Zahlen'!G13</f>
        <v>0</v>
      </c>
      <c r="J12" s="36">
        <f>'PLAN Zahlen'!H15</f>
        <v>0</v>
      </c>
      <c r="K12" s="7">
        <f>'IST Zahlen'!H13</f>
        <v>0</v>
      </c>
      <c r="L12" s="36">
        <f>'PLAN Zahlen'!I15</f>
        <v>0</v>
      </c>
      <c r="M12" s="7">
        <f>'IST Zahlen'!I13</f>
        <v>0</v>
      </c>
      <c r="N12" s="36">
        <f>'PLAN Zahlen'!J15</f>
        <v>0</v>
      </c>
      <c r="O12" s="7">
        <f>'IST Zahlen'!J13</f>
        <v>0</v>
      </c>
      <c r="P12" s="36">
        <f>'PLAN Zahlen'!K15</f>
        <v>0</v>
      </c>
      <c r="Q12" s="7">
        <f>'IST Zahlen'!K13</f>
        <v>0</v>
      </c>
      <c r="R12" s="36">
        <f>'PLAN Zahlen'!L15</f>
        <v>0</v>
      </c>
      <c r="S12" s="7">
        <f>'IST Zahlen'!L13</f>
        <v>0</v>
      </c>
      <c r="T12" s="36">
        <f>'PLAN Zahlen'!M15</f>
        <v>0</v>
      </c>
      <c r="U12" s="7">
        <f>'IST Zahlen'!M13</f>
        <v>0</v>
      </c>
      <c r="V12" s="36">
        <f>'PLAN Zahlen'!N15</f>
        <v>0</v>
      </c>
      <c r="W12" s="7">
        <f>'IST Zahlen'!N13</f>
        <v>0</v>
      </c>
      <c r="X12" s="36">
        <f>'PLAN Zahlen'!O15</f>
        <v>0</v>
      </c>
      <c r="Y12" s="7">
        <f>'IST Zahlen'!O13</f>
        <v>0</v>
      </c>
      <c r="Z12" s="36">
        <f>'PLAN Zahlen'!P15</f>
        <v>0</v>
      </c>
      <c r="AA12" s="7">
        <f>'IST Zahlen'!P13</f>
        <v>0</v>
      </c>
      <c r="AB12" s="36">
        <f>'PLAN Zahlen'!Q15</f>
        <v>0</v>
      </c>
      <c r="AC12" s="7">
        <f>'IST Zahlen'!Q13</f>
        <v>0</v>
      </c>
      <c r="AD12" s="36">
        <f>'PLAN Zahlen'!R15</f>
        <v>0</v>
      </c>
      <c r="AE12" s="7">
        <f>'IST Zahlen'!R13</f>
        <v>0</v>
      </c>
      <c r="AF12" s="36">
        <f>'PLAN Zahlen'!S15</f>
        <v>0</v>
      </c>
      <c r="AG12" s="7">
        <f>'IST Zahlen'!S13</f>
        <v>0</v>
      </c>
      <c r="AH12" s="36"/>
    </row>
    <row r="13" spans="2:34" x14ac:dyDescent="0.2">
      <c r="B13" s="49">
        <f>'PLAN Zahlen'!B16</f>
        <v>0</v>
      </c>
      <c r="C13" s="5" t="str">
        <f>'PLAN Zahlen'!C16</f>
        <v>Factoring (Sicherungseinbehalt)</v>
      </c>
      <c r="E13" s="86">
        <v>0</v>
      </c>
      <c r="F13" s="36">
        <f>'PLAN Zahlen'!F16</f>
        <v>0</v>
      </c>
      <c r="G13" s="7">
        <f>'IST Zahlen'!F14</f>
        <v>0</v>
      </c>
      <c r="H13" s="36">
        <f>'PLAN Zahlen'!G16</f>
        <v>0</v>
      </c>
      <c r="I13" s="7">
        <f>'IST Zahlen'!G14</f>
        <v>0</v>
      </c>
      <c r="J13" s="36">
        <f>'PLAN Zahlen'!H16</f>
        <v>0</v>
      </c>
      <c r="K13" s="7">
        <f>'IST Zahlen'!H14</f>
        <v>0</v>
      </c>
      <c r="L13" s="36">
        <f>'PLAN Zahlen'!I16</f>
        <v>0</v>
      </c>
      <c r="M13" s="7">
        <f>'IST Zahlen'!I14</f>
        <v>0</v>
      </c>
      <c r="N13" s="36">
        <f>'PLAN Zahlen'!J16</f>
        <v>0</v>
      </c>
      <c r="O13" s="7">
        <f>'IST Zahlen'!J14</f>
        <v>0</v>
      </c>
      <c r="P13" s="36">
        <f>'PLAN Zahlen'!K16</f>
        <v>0</v>
      </c>
      <c r="Q13" s="7">
        <f>'IST Zahlen'!K14</f>
        <v>0</v>
      </c>
      <c r="R13" s="36">
        <f>'PLAN Zahlen'!L16</f>
        <v>0</v>
      </c>
      <c r="S13" s="7">
        <f>'IST Zahlen'!L14</f>
        <v>0</v>
      </c>
      <c r="T13" s="36">
        <f>'PLAN Zahlen'!M16</f>
        <v>0</v>
      </c>
      <c r="U13" s="7">
        <f>'IST Zahlen'!M14</f>
        <v>0</v>
      </c>
      <c r="V13" s="36">
        <f>'PLAN Zahlen'!N16</f>
        <v>0</v>
      </c>
      <c r="W13" s="7">
        <f>'IST Zahlen'!N14</f>
        <v>0</v>
      </c>
      <c r="X13" s="36">
        <f>'PLAN Zahlen'!O16</f>
        <v>0</v>
      </c>
      <c r="Y13" s="7">
        <f>'IST Zahlen'!O14</f>
        <v>0</v>
      </c>
      <c r="Z13" s="36">
        <f>'PLAN Zahlen'!P16</f>
        <v>0</v>
      </c>
      <c r="AA13" s="7">
        <f>'IST Zahlen'!P14</f>
        <v>0</v>
      </c>
      <c r="AB13" s="36">
        <f>'PLAN Zahlen'!Q16</f>
        <v>0</v>
      </c>
      <c r="AC13" s="7">
        <f>'IST Zahlen'!Q14</f>
        <v>0</v>
      </c>
      <c r="AD13" s="36">
        <f>'PLAN Zahlen'!R16</f>
        <v>0</v>
      </c>
      <c r="AE13" s="7">
        <f>'IST Zahlen'!R14</f>
        <v>0</v>
      </c>
      <c r="AF13" s="36">
        <f>'PLAN Zahlen'!S16</f>
        <v>0</v>
      </c>
      <c r="AG13" s="7">
        <f>'IST Zahlen'!S14</f>
        <v>0</v>
      </c>
      <c r="AH13" s="36"/>
    </row>
    <row r="14" spans="2:34" x14ac:dyDescent="0.2">
      <c r="B14" s="49" t="str">
        <f>'PLAN Zahlen'!B17</f>
        <v>1.2.</v>
      </c>
      <c r="C14" s="5" t="str">
        <f>'PLAN Zahlen'!C17</f>
        <v>Altkunden (Leistung vor Insolvenzantrag)</v>
      </c>
      <c r="E14" s="86">
        <v>0</v>
      </c>
      <c r="F14" s="36">
        <f>'PLAN Zahlen'!F17</f>
        <v>24130.84</v>
      </c>
      <c r="G14" s="7">
        <f>'IST Zahlen'!F15</f>
        <v>0</v>
      </c>
      <c r="H14" s="36">
        <f>'PLAN Zahlen'!G17</f>
        <v>26000</v>
      </c>
      <c r="I14" s="7">
        <f>'IST Zahlen'!G15</f>
        <v>0</v>
      </c>
      <c r="J14" s="36">
        <f>'PLAN Zahlen'!H17</f>
        <v>32000</v>
      </c>
      <c r="K14" s="7">
        <f>'IST Zahlen'!H15</f>
        <v>0</v>
      </c>
      <c r="L14" s="36">
        <f>'PLAN Zahlen'!I17</f>
        <v>32000</v>
      </c>
      <c r="M14" s="7">
        <f>'IST Zahlen'!I15</f>
        <v>0</v>
      </c>
      <c r="N14" s="36">
        <f>'PLAN Zahlen'!J17</f>
        <v>32000</v>
      </c>
      <c r="O14" s="7">
        <f>'IST Zahlen'!J15</f>
        <v>0</v>
      </c>
      <c r="P14" s="36">
        <f>'PLAN Zahlen'!K17</f>
        <v>32000</v>
      </c>
      <c r="Q14" s="7">
        <f>'IST Zahlen'!K15</f>
        <v>0</v>
      </c>
      <c r="R14" s="36">
        <f>'PLAN Zahlen'!L17</f>
        <v>32000</v>
      </c>
      <c r="S14" s="7">
        <f>'IST Zahlen'!L15</f>
        <v>0</v>
      </c>
      <c r="T14" s="36">
        <f>'PLAN Zahlen'!M17</f>
        <v>32000</v>
      </c>
      <c r="U14" s="7" t="str">
        <f>'IST Zahlen'!M15</f>
        <v>-</v>
      </c>
      <c r="V14" s="36">
        <f>'PLAN Zahlen'!N17</f>
        <v>32000</v>
      </c>
      <c r="W14" s="7">
        <f>'IST Zahlen'!N15</f>
        <v>0</v>
      </c>
      <c r="X14" s="36">
        <f>'PLAN Zahlen'!O17</f>
        <v>32000</v>
      </c>
      <c r="Y14" s="7">
        <f>'IST Zahlen'!O15</f>
        <v>0</v>
      </c>
      <c r="Z14" s="36">
        <f>'PLAN Zahlen'!P17</f>
        <v>32000</v>
      </c>
      <c r="AA14" s="7" t="str">
        <f>'IST Zahlen'!P15</f>
        <v>-</v>
      </c>
      <c r="AB14" s="36">
        <f>'PLAN Zahlen'!Q17</f>
        <v>32000</v>
      </c>
      <c r="AC14" s="7">
        <f>'IST Zahlen'!Q15</f>
        <v>11667.96</v>
      </c>
      <c r="AD14" s="36">
        <f>'PLAN Zahlen'!R17</f>
        <v>32000</v>
      </c>
      <c r="AE14" s="7">
        <f>'IST Zahlen'!R15</f>
        <v>15167.2</v>
      </c>
      <c r="AF14" s="36">
        <f>'PLAN Zahlen'!S17</f>
        <v>32000</v>
      </c>
      <c r="AG14" s="7">
        <f>'IST Zahlen'!S15</f>
        <v>17761</v>
      </c>
      <c r="AH14" s="36"/>
    </row>
    <row r="15" spans="2:34" x14ac:dyDescent="0.2">
      <c r="B15" s="49" t="str">
        <f>'PLAN Zahlen'!B18</f>
        <v>1.3.</v>
      </c>
      <c r="C15" s="5" t="str">
        <f>'PLAN Zahlen'!C18</f>
        <v>Sonstige Eingänge</v>
      </c>
      <c r="E15" s="88">
        <v>0</v>
      </c>
      <c r="F15" s="36">
        <f>'PLAN Zahlen'!F18</f>
        <v>0</v>
      </c>
      <c r="G15" s="7" t="e">
        <f>'IST Zahlen'!#REF!</f>
        <v>#REF!</v>
      </c>
      <c r="H15" s="36">
        <f>'PLAN Zahlen'!G18</f>
        <v>0</v>
      </c>
      <c r="I15" s="7">
        <f>'IST Zahlen'!G16</f>
        <v>0</v>
      </c>
      <c r="J15" s="36">
        <f>'PLAN Zahlen'!H18</f>
        <v>0</v>
      </c>
      <c r="K15" s="7">
        <f>'IST Zahlen'!H16</f>
        <v>0</v>
      </c>
      <c r="L15" s="36">
        <f>'PLAN Zahlen'!I18</f>
        <v>0</v>
      </c>
      <c r="M15" s="7">
        <f>'IST Zahlen'!I16</f>
        <v>0</v>
      </c>
      <c r="N15" s="36">
        <f>'PLAN Zahlen'!J18</f>
        <v>0</v>
      </c>
      <c r="O15" s="7">
        <f>'IST Zahlen'!J16</f>
        <v>0</v>
      </c>
      <c r="P15" s="36">
        <f>'PLAN Zahlen'!K18</f>
        <v>0</v>
      </c>
      <c r="Q15" s="7">
        <f>'IST Zahlen'!K16</f>
        <v>0</v>
      </c>
      <c r="R15" s="36">
        <f>'PLAN Zahlen'!L18</f>
        <v>0</v>
      </c>
      <c r="S15" s="7">
        <f>'IST Zahlen'!L16</f>
        <v>0</v>
      </c>
      <c r="T15" s="36">
        <f>'PLAN Zahlen'!M18</f>
        <v>0</v>
      </c>
      <c r="U15" s="7">
        <f>'IST Zahlen'!M16</f>
        <v>0</v>
      </c>
      <c r="V15" s="36">
        <f>'PLAN Zahlen'!N18</f>
        <v>0</v>
      </c>
      <c r="W15" s="7">
        <f>'IST Zahlen'!N16</f>
        <v>0</v>
      </c>
      <c r="X15" s="36">
        <f>'PLAN Zahlen'!O18</f>
        <v>0</v>
      </c>
      <c r="Y15" s="7">
        <f>'IST Zahlen'!O16</f>
        <v>412.2</v>
      </c>
      <c r="Z15" s="36">
        <f>'PLAN Zahlen'!P18</f>
        <v>0</v>
      </c>
      <c r="AA15" s="7">
        <f>'IST Zahlen'!P16</f>
        <v>0</v>
      </c>
      <c r="AB15" s="36">
        <f>'PLAN Zahlen'!Q18</f>
        <v>0</v>
      </c>
      <c r="AC15" s="7">
        <f>'IST Zahlen'!Q16</f>
        <v>0</v>
      </c>
      <c r="AD15" s="36">
        <f>'PLAN Zahlen'!R18</f>
        <v>0</v>
      </c>
      <c r="AE15" s="7">
        <f>'IST Zahlen'!R16</f>
        <v>0</v>
      </c>
      <c r="AF15" s="36">
        <f>'PLAN Zahlen'!S18</f>
        <v>0</v>
      </c>
      <c r="AG15" s="7">
        <f>'IST Zahlen'!S16</f>
        <v>0</v>
      </c>
      <c r="AH15" s="36"/>
    </row>
    <row r="16" spans="2:34" x14ac:dyDescent="0.2">
      <c r="B16" s="49" t="str">
        <f>'PLAN Zahlen'!B19</f>
        <v>1.4.</v>
      </c>
      <c r="C16" s="5">
        <f>'PLAN Zahlen'!C19</f>
        <v>0</v>
      </c>
      <c r="E16" s="88">
        <v>0</v>
      </c>
      <c r="F16" s="36">
        <f>'PLAN Zahlen'!F19</f>
        <v>0</v>
      </c>
      <c r="G16" s="7">
        <f>'IST Zahlen'!F16</f>
        <v>0</v>
      </c>
      <c r="H16" s="36">
        <f>'PLAN Zahlen'!G19</f>
        <v>0</v>
      </c>
      <c r="I16" s="7">
        <f>'IST Zahlen'!G17</f>
        <v>0</v>
      </c>
      <c r="J16" s="36">
        <f>'PLAN Zahlen'!H19</f>
        <v>0</v>
      </c>
      <c r="K16" s="7">
        <f>'IST Zahlen'!H17</f>
        <v>0</v>
      </c>
      <c r="L16" s="36">
        <f>'PLAN Zahlen'!I19</f>
        <v>0</v>
      </c>
      <c r="M16" s="7">
        <f>'IST Zahlen'!I17</f>
        <v>0</v>
      </c>
      <c r="N16" s="36">
        <f>'PLAN Zahlen'!J19</f>
        <v>0</v>
      </c>
      <c r="O16" s="7">
        <f>'IST Zahlen'!J17</f>
        <v>0</v>
      </c>
      <c r="P16" s="36">
        <f>'PLAN Zahlen'!K19</f>
        <v>0</v>
      </c>
      <c r="Q16" s="7">
        <f>'IST Zahlen'!K17</f>
        <v>0</v>
      </c>
      <c r="R16" s="36">
        <f>'PLAN Zahlen'!L19</f>
        <v>0</v>
      </c>
      <c r="S16" s="7">
        <f>'IST Zahlen'!L17</f>
        <v>0</v>
      </c>
      <c r="T16" s="36">
        <f>'PLAN Zahlen'!M19</f>
        <v>0</v>
      </c>
      <c r="U16" s="7">
        <f>'IST Zahlen'!M17</f>
        <v>2400</v>
      </c>
      <c r="V16" s="36">
        <f>'PLAN Zahlen'!N19</f>
        <v>0</v>
      </c>
      <c r="W16" s="7">
        <f>'IST Zahlen'!N17</f>
        <v>21000</v>
      </c>
      <c r="X16" s="36">
        <f>'PLAN Zahlen'!O19</f>
        <v>0</v>
      </c>
      <c r="Y16" s="7">
        <f>'IST Zahlen'!O17</f>
        <v>0</v>
      </c>
      <c r="Z16" s="36">
        <f>'PLAN Zahlen'!P19</f>
        <v>0</v>
      </c>
      <c r="AA16" s="7">
        <f>'IST Zahlen'!P17</f>
        <v>7000</v>
      </c>
      <c r="AB16" s="36">
        <f>'PLAN Zahlen'!Q19</f>
        <v>0</v>
      </c>
      <c r="AC16" s="7">
        <f>'IST Zahlen'!Q17</f>
        <v>7000</v>
      </c>
      <c r="AD16" s="36">
        <f>'PLAN Zahlen'!R19</f>
        <v>0</v>
      </c>
      <c r="AE16" s="7">
        <f>'IST Zahlen'!R17</f>
        <v>790</v>
      </c>
      <c r="AF16" s="36">
        <f>'PLAN Zahlen'!S19</f>
        <v>0</v>
      </c>
      <c r="AG16" s="7">
        <f>'IST Zahlen'!S17</f>
        <v>3850</v>
      </c>
      <c r="AH16" s="36"/>
    </row>
    <row r="17" spans="2:34" x14ac:dyDescent="0.2">
      <c r="B17" s="49">
        <f>'PLAN Zahlen'!B20</f>
        <v>0</v>
      </c>
      <c r="C17" s="5">
        <f>'PLAN Zahlen'!C20</f>
        <v>0</v>
      </c>
      <c r="E17" s="88">
        <v>0</v>
      </c>
      <c r="F17" s="36">
        <f>'PLAN Zahlen'!F20</f>
        <v>0</v>
      </c>
      <c r="G17" s="7">
        <f>'IST Zahlen'!F18</f>
        <v>0</v>
      </c>
      <c r="H17" s="36">
        <f>'PLAN Zahlen'!G20</f>
        <v>0</v>
      </c>
      <c r="I17" s="7">
        <f>'IST Zahlen'!G18</f>
        <v>0</v>
      </c>
      <c r="J17" s="36">
        <f>'PLAN Zahlen'!H20</f>
        <v>0</v>
      </c>
      <c r="K17" s="7">
        <f>'IST Zahlen'!H18</f>
        <v>0</v>
      </c>
      <c r="L17" s="36">
        <f>'PLAN Zahlen'!I20</f>
        <v>0</v>
      </c>
      <c r="M17" s="7">
        <f>'IST Zahlen'!I18</f>
        <v>0</v>
      </c>
      <c r="N17" s="36">
        <f>'PLAN Zahlen'!J20</f>
        <v>0</v>
      </c>
      <c r="O17" s="7">
        <f>'IST Zahlen'!J18</f>
        <v>0</v>
      </c>
      <c r="P17" s="36">
        <f>'PLAN Zahlen'!K20</f>
        <v>0</v>
      </c>
      <c r="Q17" s="7">
        <f>'IST Zahlen'!K18</f>
        <v>0</v>
      </c>
      <c r="R17" s="36">
        <f>'PLAN Zahlen'!L20</f>
        <v>0</v>
      </c>
      <c r="S17" s="7">
        <f>'IST Zahlen'!L18</f>
        <v>0</v>
      </c>
      <c r="T17" s="36">
        <f>'PLAN Zahlen'!M20</f>
        <v>0</v>
      </c>
      <c r="U17" s="7">
        <f>'IST Zahlen'!M18</f>
        <v>0</v>
      </c>
      <c r="V17" s="36">
        <f>'PLAN Zahlen'!N20</f>
        <v>0</v>
      </c>
      <c r="W17" s="7">
        <f>'IST Zahlen'!N18</f>
        <v>0</v>
      </c>
      <c r="X17" s="36">
        <f>'PLAN Zahlen'!O20</f>
        <v>0</v>
      </c>
      <c r="Y17" s="7">
        <f>'IST Zahlen'!O18</f>
        <v>0</v>
      </c>
      <c r="Z17" s="36">
        <f>'PLAN Zahlen'!P20</f>
        <v>0</v>
      </c>
      <c r="AA17" s="7">
        <f>'IST Zahlen'!P18</f>
        <v>0</v>
      </c>
      <c r="AB17" s="36">
        <f>'PLAN Zahlen'!Q20</f>
        <v>0</v>
      </c>
      <c r="AC17" s="7">
        <f>'IST Zahlen'!Q18</f>
        <v>0</v>
      </c>
      <c r="AD17" s="36">
        <f>'PLAN Zahlen'!R20</f>
        <v>0</v>
      </c>
      <c r="AE17" s="7">
        <f>'IST Zahlen'!R18</f>
        <v>17000</v>
      </c>
      <c r="AF17" s="36">
        <f>'PLAN Zahlen'!S20</f>
        <v>0</v>
      </c>
      <c r="AG17" s="7">
        <f>'IST Zahlen'!S18</f>
        <v>3000</v>
      </c>
      <c r="AH17" s="36"/>
    </row>
    <row r="18" spans="2:34" x14ac:dyDescent="0.2">
      <c r="B18" s="49">
        <f>'PLAN Zahlen'!B21</f>
        <v>0</v>
      </c>
      <c r="C18" s="5">
        <f>'PLAN Zahlen'!C21</f>
        <v>0</v>
      </c>
      <c r="E18" s="88">
        <v>0</v>
      </c>
      <c r="F18" s="36">
        <f>'PLAN Zahlen'!F21</f>
        <v>0</v>
      </c>
      <c r="G18" s="7">
        <f>'IST Zahlen'!F19</f>
        <v>0</v>
      </c>
      <c r="H18" s="36">
        <f>'PLAN Zahlen'!G21</f>
        <v>0</v>
      </c>
      <c r="I18" s="7">
        <f>'IST Zahlen'!G19</f>
        <v>0</v>
      </c>
      <c r="J18" s="36">
        <f>'PLAN Zahlen'!H21</f>
        <v>0</v>
      </c>
      <c r="K18" s="7">
        <f>'IST Zahlen'!H19</f>
        <v>0</v>
      </c>
      <c r="L18" s="36">
        <f>'PLAN Zahlen'!I21</f>
        <v>0</v>
      </c>
      <c r="M18" s="7">
        <f>'IST Zahlen'!I19</f>
        <v>0</v>
      </c>
      <c r="N18" s="36">
        <f>'PLAN Zahlen'!J21</f>
        <v>0</v>
      </c>
      <c r="O18" s="7">
        <f>'IST Zahlen'!J19</f>
        <v>0</v>
      </c>
      <c r="P18" s="36">
        <f>'PLAN Zahlen'!K21</f>
        <v>0</v>
      </c>
      <c r="Q18" s="7">
        <f>'IST Zahlen'!K19</f>
        <v>0</v>
      </c>
      <c r="R18" s="36">
        <f>'PLAN Zahlen'!L21</f>
        <v>0</v>
      </c>
      <c r="S18" s="7">
        <f>'IST Zahlen'!L19</f>
        <v>0</v>
      </c>
      <c r="T18" s="36">
        <f>'PLAN Zahlen'!M21</f>
        <v>0</v>
      </c>
      <c r="U18" s="7">
        <f>'IST Zahlen'!M19</f>
        <v>24</v>
      </c>
      <c r="V18" s="36">
        <f>'PLAN Zahlen'!N21</f>
        <v>0</v>
      </c>
      <c r="W18" s="7">
        <f>'IST Zahlen'!N19</f>
        <v>0</v>
      </c>
      <c r="X18" s="36">
        <f>'PLAN Zahlen'!O21</f>
        <v>0</v>
      </c>
      <c r="Y18" s="7">
        <f>'IST Zahlen'!O19</f>
        <v>0</v>
      </c>
      <c r="Z18" s="36">
        <f>'PLAN Zahlen'!P21</f>
        <v>0</v>
      </c>
      <c r="AA18" s="7">
        <f>'IST Zahlen'!P19</f>
        <v>822</v>
      </c>
      <c r="AB18" s="36">
        <f>'PLAN Zahlen'!Q21</f>
        <v>0</v>
      </c>
      <c r="AC18" s="7">
        <f>'IST Zahlen'!Q19</f>
        <v>0</v>
      </c>
      <c r="AD18" s="36">
        <f>'PLAN Zahlen'!R21</f>
        <v>0</v>
      </c>
      <c r="AE18" s="7">
        <f>'IST Zahlen'!R19</f>
        <v>7552</v>
      </c>
      <c r="AF18" s="36">
        <f>'PLAN Zahlen'!S21</f>
        <v>0</v>
      </c>
      <c r="AG18" s="7">
        <f>'IST Zahlen'!S19</f>
        <v>0</v>
      </c>
      <c r="AH18" s="36"/>
    </row>
    <row r="19" spans="2:34" x14ac:dyDescent="0.2">
      <c r="B19" s="49">
        <f>'PLAN Zahlen'!B22</f>
        <v>0</v>
      </c>
      <c r="C19" s="5">
        <f>'PLAN Zahlen'!C22</f>
        <v>0</v>
      </c>
      <c r="E19" s="88">
        <v>0</v>
      </c>
      <c r="F19" s="36">
        <f>'PLAN Zahlen'!F22</f>
        <v>0</v>
      </c>
      <c r="G19" s="7">
        <f>'IST Zahlen'!F20</f>
        <v>0</v>
      </c>
      <c r="H19" s="36">
        <f>'PLAN Zahlen'!G22</f>
        <v>0</v>
      </c>
      <c r="I19" s="7">
        <f>'IST Zahlen'!G20</f>
        <v>0</v>
      </c>
      <c r="J19" s="36">
        <f>'PLAN Zahlen'!H22</f>
        <v>0</v>
      </c>
      <c r="K19" s="7">
        <f>'IST Zahlen'!H20</f>
        <v>0</v>
      </c>
      <c r="L19" s="36">
        <f>'PLAN Zahlen'!I22</f>
        <v>0</v>
      </c>
      <c r="M19" s="7">
        <f>'IST Zahlen'!I20</f>
        <v>0</v>
      </c>
      <c r="N19" s="36">
        <f>'PLAN Zahlen'!J22</f>
        <v>0</v>
      </c>
      <c r="O19" s="7">
        <f>'IST Zahlen'!J20</f>
        <v>0</v>
      </c>
      <c r="P19" s="36">
        <f>'PLAN Zahlen'!K22</f>
        <v>0</v>
      </c>
      <c r="Q19" s="7">
        <f>'IST Zahlen'!K20</f>
        <v>0</v>
      </c>
      <c r="R19" s="36">
        <f>'PLAN Zahlen'!L22</f>
        <v>0</v>
      </c>
      <c r="S19" s="7">
        <f>'IST Zahlen'!L20</f>
        <v>0</v>
      </c>
      <c r="T19" s="36">
        <f>'PLAN Zahlen'!M22</f>
        <v>0</v>
      </c>
      <c r="U19" s="7">
        <f>'IST Zahlen'!M20</f>
        <v>0</v>
      </c>
      <c r="V19" s="36">
        <f>'PLAN Zahlen'!N22</f>
        <v>0</v>
      </c>
      <c r="W19" s="7">
        <f>'IST Zahlen'!N20</f>
        <v>0</v>
      </c>
      <c r="X19" s="36">
        <f>'PLAN Zahlen'!O22</f>
        <v>0</v>
      </c>
      <c r="Y19" s="7">
        <f>'IST Zahlen'!O20</f>
        <v>0</v>
      </c>
      <c r="Z19" s="36">
        <f>'PLAN Zahlen'!P22</f>
        <v>0</v>
      </c>
      <c r="AA19" s="7">
        <f>'IST Zahlen'!P20</f>
        <v>0</v>
      </c>
      <c r="AB19" s="36">
        <f>'PLAN Zahlen'!Q22</f>
        <v>0</v>
      </c>
      <c r="AC19" s="7">
        <f>'IST Zahlen'!Q20</f>
        <v>0</v>
      </c>
      <c r="AD19" s="36">
        <f>'PLAN Zahlen'!R22</f>
        <v>0</v>
      </c>
      <c r="AE19" s="7">
        <f>'IST Zahlen'!R20</f>
        <v>0</v>
      </c>
      <c r="AF19" s="36">
        <f>'PLAN Zahlen'!S22</f>
        <v>0</v>
      </c>
      <c r="AG19" s="7">
        <f>'IST Zahlen'!S20</f>
        <v>0</v>
      </c>
      <c r="AH19" s="36"/>
    </row>
    <row r="20" spans="2:34" x14ac:dyDescent="0.2">
      <c r="B20" s="49">
        <f>'PLAN Zahlen'!B23</f>
        <v>0</v>
      </c>
      <c r="C20" s="5">
        <f>'PLAN Zahlen'!C23</f>
        <v>0</v>
      </c>
      <c r="E20" s="88">
        <v>0</v>
      </c>
      <c r="F20" s="36">
        <f>'PLAN Zahlen'!F23</f>
        <v>0</v>
      </c>
      <c r="G20" s="7">
        <f>'IST Zahlen'!F21</f>
        <v>0</v>
      </c>
      <c r="H20" s="36">
        <f>'PLAN Zahlen'!G23</f>
        <v>0</v>
      </c>
      <c r="I20" s="7">
        <f>'IST Zahlen'!G21</f>
        <v>0</v>
      </c>
      <c r="J20" s="36">
        <f>'PLAN Zahlen'!H23</f>
        <v>0</v>
      </c>
      <c r="K20" s="7">
        <f>'IST Zahlen'!H21</f>
        <v>0</v>
      </c>
      <c r="L20" s="36">
        <f>'PLAN Zahlen'!I23</f>
        <v>0</v>
      </c>
      <c r="M20" s="7">
        <f>'IST Zahlen'!I21</f>
        <v>0</v>
      </c>
      <c r="N20" s="36">
        <f>'PLAN Zahlen'!J23</f>
        <v>0</v>
      </c>
      <c r="O20" s="7">
        <f>'IST Zahlen'!J21</f>
        <v>0</v>
      </c>
      <c r="P20" s="36">
        <f>'PLAN Zahlen'!K23</f>
        <v>0</v>
      </c>
      <c r="Q20" s="7">
        <f>'IST Zahlen'!K21</f>
        <v>0</v>
      </c>
      <c r="R20" s="36">
        <f>'PLAN Zahlen'!L23</f>
        <v>0</v>
      </c>
      <c r="S20" s="7">
        <f>'IST Zahlen'!L21</f>
        <v>0</v>
      </c>
      <c r="T20" s="36">
        <f>'PLAN Zahlen'!M23</f>
        <v>0</v>
      </c>
      <c r="U20" s="7">
        <f>'IST Zahlen'!M21</f>
        <v>0</v>
      </c>
      <c r="V20" s="36">
        <f>'PLAN Zahlen'!N23</f>
        <v>0</v>
      </c>
      <c r="W20" s="7">
        <f>'IST Zahlen'!N21</f>
        <v>0</v>
      </c>
      <c r="X20" s="36">
        <f>'PLAN Zahlen'!O23</f>
        <v>0</v>
      </c>
      <c r="Y20" s="7">
        <f>'IST Zahlen'!O21</f>
        <v>0</v>
      </c>
      <c r="Z20" s="36">
        <f>'PLAN Zahlen'!P23</f>
        <v>0</v>
      </c>
      <c r="AA20" s="7">
        <f>'IST Zahlen'!P21</f>
        <v>0</v>
      </c>
      <c r="AB20" s="36">
        <f>'PLAN Zahlen'!Q23</f>
        <v>0</v>
      </c>
      <c r="AC20" s="7">
        <f>'IST Zahlen'!Q21</f>
        <v>0</v>
      </c>
      <c r="AD20" s="36">
        <f>'PLAN Zahlen'!R23</f>
        <v>0</v>
      </c>
      <c r="AE20" s="7">
        <f>'IST Zahlen'!R21</f>
        <v>2782</v>
      </c>
      <c r="AF20" s="36">
        <f>'PLAN Zahlen'!S23</f>
        <v>0</v>
      </c>
      <c r="AG20" s="7">
        <f>'IST Zahlen'!S21</f>
        <v>4308</v>
      </c>
      <c r="AH20" s="36"/>
    </row>
    <row r="21" spans="2:34" x14ac:dyDescent="0.2">
      <c r="B21" s="49">
        <f>'PLAN Zahlen'!B24</f>
        <v>0</v>
      </c>
      <c r="C21" s="5">
        <f>'PLAN Zahlen'!C24</f>
        <v>0</v>
      </c>
      <c r="E21" s="88">
        <v>0</v>
      </c>
      <c r="F21" s="36">
        <f>'PLAN Zahlen'!F24</f>
        <v>0</v>
      </c>
      <c r="G21" s="7">
        <f>'IST Zahlen'!F22</f>
        <v>0</v>
      </c>
      <c r="H21" s="36">
        <f>'PLAN Zahlen'!G24</f>
        <v>0</v>
      </c>
      <c r="I21" s="7">
        <f>'IST Zahlen'!G22</f>
        <v>0</v>
      </c>
      <c r="J21" s="36">
        <f>'PLAN Zahlen'!H24</f>
        <v>0</v>
      </c>
      <c r="K21" s="7">
        <f>'IST Zahlen'!H22</f>
        <v>0</v>
      </c>
      <c r="L21" s="36">
        <f>'PLAN Zahlen'!I24</f>
        <v>0</v>
      </c>
      <c r="M21" s="7">
        <f>'IST Zahlen'!I22</f>
        <v>0</v>
      </c>
      <c r="N21" s="36">
        <f>'PLAN Zahlen'!J24</f>
        <v>0</v>
      </c>
      <c r="O21" s="7">
        <f>'IST Zahlen'!J22</f>
        <v>0</v>
      </c>
      <c r="P21" s="36">
        <f>'PLAN Zahlen'!K24</f>
        <v>0</v>
      </c>
      <c r="Q21" s="7">
        <f>'IST Zahlen'!K22</f>
        <v>0</v>
      </c>
      <c r="R21" s="36">
        <f>'PLAN Zahlen'!L24</f>
        <v>0</v>
      </c>
      <c r="S21" s="7">
        <f>'IST Zahlen'!L22</f>
        <v>0</v>
      </c>
      <c r="T21" s="36">
        <f>'PLAN Zahlen'!M24</f>
        <v>0</v>
      </c>
      <c r="U21" s="7">
        <f>'IST Zahlen'!M22</f>
        <v>0</v>
      </c>
      <c r="V21" s="36">
        <f>'PLAN Zahlen'!N24</f>
        <v>0</v>
      </c>
      <c r="W21" s="7">
        <f>'IST Zahlen'!N22</f>
        <v>0</v>
      </c>
      <c r="X21" s="36">
        <f>'PLAN Zahlen'!O24</f>
        <v>0</v>
      </c>
      <c r="Y21" s="7">
        <f>'IST Zahlen'!O22</f>
        <v>0</v>
      </c>
      <c r="Z21" s="36">
        <f>'PLAN Zahlen'!P24</f>
        <v>0</v>
      </c>
      <c r="AA21" s="7">
        <f>'IST Zahlen'!P22</f>
        <v>0</v>
      </c>
      <c r="AB21" s="36">
        <f>'PLAN Zahlen'!Q24</f>
        <v>0</v>
      </c>
      <c r="AC21" s="7">
        <f>'IST Zahlen'!Q22</f>
        <v>0</v>
      </c>
      <c r="AD21" s="36">
        <f>'PLAN Zahlen'!R24</f>
        <v>0</v>
      </c>
      <c r="AE21" s="7">
        <f>'IST Zahlen'!R22</f>
        <v>0</v>
      </c>
      <c r="AF21" s="36">
        <f>'PLAN Zahlen'!S24</f>
        <v>0</v>
      </c>
      <c r="AG21" s="7">
        <f>'IST Zahlen'!S22</f>
        <v>0</v>
      </c>
      <c r="AH21" s="36"/>
    </row>
    <row r="22" spans="2:34" x14ac:dyDescent="0.2">
      <c r="B22" s="49">
        <f>'PLAN Zahlen'!B25</f>
        <v>0</v>
      </c>
      <c r="C22" s="5">
        <f>'PLAN Zahlen'!C25</f>
        <v>0</v>
      </c>
      <c r="E22" s="88">
        <v>0</v>
      </c>
      <c r="F22" s="36">
        <f>'PLAN Zahlen'!F25</f>
        <v>0</v>
      </c>
      <c r="G22" s="7">
        <f>'IST Zahlen'!F23</f>
        <v>0</v>
      </c>
      <c r="H22" s="36">
        <f>'PLAN Zahlen'!G25</f>
        <v>0</v>
      </c>
      <c r="I22" s="7">
        <f>'IST Zahlen'!G23</f>
        <v>0</v>
      </c>
      <c r="J22" s="36">
        <f>'PLAN Zahlen'!H25</f>
        <v>0</v>
      </c>
      <c r="K22" s="7">
        <f>'IST Zahlen'!H23</f>
        <v>0</v>
      </c>
      <c r="L22" s="36">
        <f>'PLAN Zahlen'!I25</f>
        <v>0</v>
      </c>
      <c r="M22" s="7">
        <f>'IST Zahlen'!I23</f>
        <v>0</v>
      </c>
      <c r="N22" s="36">
        <f>'PLAN Zahlen'!J25</f>
        <v>0</v>
      </c>
      <c r="O22" s="7">
        <f>'IST Zahlen'!J23</f>
        <v>0</v>
      </c>
      <c r="P22" s="36">
        <f>'PLAN Zahlen'!K25</f>
        <v>0</v>
      </c>
      <c r="Q22" s="7">
        <f>'IST Zahlen'!K23</f>
        <v>0</v>
      </c>
      <c r="R22" s="36">
        <f>'PLAN Zahlen'!L25</f>
        <v>0</v>
      </c>
      <c r="S22" s="7">
        <f>'IST Zahlen'!L23</f>
        <v>0</v>
      </c>
      <c r="T22" s="36">
        <f>'PLAN Zahlen'!M25</f>
        <v>0</v>
      </c>
      <c r="U22" s="7">
        <f>'IST Zahlen'!M23</f>
        <v>0</v>
      </c>
      <c r="V22" s="36">
        <f>'PLAN Zahlen'!N25</f>
        <v>0</v>
      </c>
      <c r="W22" s="7">
        <f>'IST Zahlen'!N23</f>
        <v>0</v>
      </c>
      <c r="X22" s="36">
        <f>'PLAN Zahlen'!O25</f>
        <v>0</v>
      </c>
      <c r="Y22" s="7">
        <f>'IST Zahlen'!O23</f>
        <v>0</v>
      </c>
      <c r="Z22" s="36">
        <f>'PLAN Zahlen'!P25</f>
        <v>0</v>
      </c>
      <c r="AA22" s="7">
        <f>'IST Zahlen'!P23</f>
        <v>0</v>
      </c>
      <c r="AB22" s="36">
        <f>'PLAN Zahlen'!Q25</f>
        <v>0</v>
      </c>
      <c r="AC22" s="7">
        <f>'IST Zahlen'!Q23</f>
        <v>0</v>
      </c>
      <c r="AD22" s="36">
        <f>'PLAN Zahlen'!R25</f>
        <v>0</v>
      </c>
      <c r="AE22" s="7">
        <f>'IST Zahlen'!R23</f>
        <v>0</v>
      </c>
      <c r="AF22" s="36">
        <f>'PLAN Zahlen'!S25</f>
        <v>0</v>
      </c>
      <c r="AG22" s="7">
        <f>'IST Zahlen'!S23</f>
        <v>0</v>
      </c>
      <c r="AH22" s="36"/>
    </row>
    <row r="23" spans="2:34" x14ac:dyDescent="0.2">
      <c r="B23" s="49"/>
      <c r="C23" s="5"/>
      <c r="E23" s="88"/>
      <c r="F23" s="36">
        <f>'PLAN Zahlen'!F26</f>
        <v>0</v>
      </c>
      <c r="G23" s="7">
        <f>'IST Zahlen'!F24</f>
        <v>0</v>
      </c>
      <c r="H23" s="36">
        <f>'PLAN Zahlen'!G26</f>
        <v>0</v>
      </c>
      <c r="I23" s="7">
        <f>'IST Zahlen'!G24</f>
        <v>0</v>
      </c>
      <c r="J23" s="36">
        <f>'PLAN Zahlen'!H26</f>
        <v>0</v>
      </c>
      <c r="K23" s="7">
        <f>'IST Zahlen'!H24</f>
        <v>0</v>
      </c>
      <c r="L23" s="36">
        <f>'PLAN Zahlen'!I26</f>
        <v>0</v>
      </c>
      <c r="M23" s="7">
        <f>'IST Zahlen'!I24</f>
        <v>0</v>
      </c>
      <c r="N23" s="36">
        <f>'PLAN Zahlen'!J26</f>
        <v>0</v>
      </c>
      <c r="O23" s="7">
        <f>'IST Zahlen'!J24</f>
        <v>0</v>
      </c>
      <c r="P23" s="36">
        <f>'PLAN Zahlen'!K26</f>
        <v>0</v>
      </c>
      <c r="Q23" s="7">
        <f>'IST Zahlen'!K24</f>
        <v>0</v>
      </c>
      <c r="R23" s="36">
        <f>'PLAN Zahlen'!L26</f>
        <v>0</v>
      </c>
      <c r="S23" s="7">
        <f>'IST Zahlen'!L24</f>
        <v>0</v>
      </c>
      <c r="T23" s="36">
        <f>'PLAN Zahlen'!M26</f>
        <v>0</v>
      </c>
      <c r="U23" s="7">
        <f>'IST Zahlen'!M24</f>
        <v>0</v>
      </c>
      <c r="V23" s="36">
        <f>'PLAN Zahlen'!N26</f>
        <v>0</v>
      </c>
      <c r="W23" s="7">
        <f>'IST Zahlen'!N24</f>
        <v>0</v>
      </c>
      <c r="X23" s="36">
        <f>'PLAN Zahlen'!O26</f>
        <v>0</v>
      </c>
      <c r="Y23" s="7">
        <f>'IST Zahlen'!O24</f>
        <v>0</v>
      </c>
      <c r="Z23" s="36">
        <f>'PLAN Zahlen'!P26</f>
        <v>0</v>
      </c>
      <c r="AA23" s="7">
        <f>'IST Zahlen'!P24</f>
        <v>0</v>
      </c>
      <c r="AB23" s="36">
        <f>'PLAN Zahlen'!Q26</f>
        <v>0</v>
      </c>
      <c r="AC23" s="7">
        <f>'IST Zahlen'!Q24</f>
        <v>0</v>
      </c>
      <c r="AD23" s="36">
        <f>'PLAN Zahlen'!R26</f>
        <v>0</v>
      </c>
      <c r="AE23" s="7">
        <f>'IST Zahlen'!R24</f>
        <v>0</v>
      </c>
      <c r="AF23" s="36">
        <f>'PLAN Zahlen'!S26</f>
        <v>0</v>
      </c>
      <c r="AG23" s="7">
        <f>'IST Zahlen'!S24</f>
        <v>0</v>
      </c>
      <c r="AH23" s="36"/>
    </row>
    <row r="24" spans="2:34" ht="12.75" thickBot="1" x14ac:dyDescent="0.25">
      <c r="B24" s="49"/>
      <c r="C24" s="23" t="s">
        <v>9</v>
      </c>
      <c r="D24" s="23"/>
      <c r="E24" s="89"/>
      <c r="F24" s="71">
        <f>'PLAN Zahlen'!F27</f>
        <v>24130.84</v>
      </c>
      <c r="G24" s="24">
        <f>'IST Zahlen'!F25</f>
        <v>0</v>
      </c>
      <c r="H24" s="71">
        <f>'PLAN Zahlen'!G27</f>
        <v>26000</v>
      </c>
      <c r="I24" s="24">
        <f>'IST Zahlen'!G25</f>
        <v>0</v>
      </c>
      <c r="J24" s="39">
        <f>'PLAN Zahlen'!H27</f>
        <v>32000</v>
      </c>
      <c r="K24" s="64">
        <f>'IST Zahlen'!H25</f>
        <v>0</v>
      </c>
      <c r="L24" s="39">
        <f>'PLAN Zahlen'!I27</f>
        <v>32000</v>
      </c>
      <c r="M24" s="64">
        <f>'IST Zahlen'!I25</f>
        <v>0</v>
      </c>
      <c r="N24" s="39">
        <f>'PLAN Zahlen'!J27</f>
        <v>32000</v>
      </c>
      <c r="O24" s="64">
        <f>'IST Zahlen'!J25</f>
        <v>0</v>
      </c>
      <c r="P24" s="39">
        <f>'PLAN Zahlen'!K27</f>
        <v>32000</v>
      </c>
      <c r="Q24" s="64">
        <f>'IST Zahlen'!K25</f>
        <v>0</v>
      </c>
      <c r="R24" s="39">
        <f>'PLAN Zahlen'!L27</f>
        <v>32000</v>
      </c>
      <c r="S24" s="64">
        <f>'IST Zahlen'!L25</f>
        <v>0</v>
      </c>
      <c r="T24" s="39">
        <f>'PLAN Zahlen'!M27</f>
        <v>32000</v>
      </c>
      <c r="U24" s="64">
        <f>'IST Zahlen'!M25</f>
        <v>2424</v>
      </c>
      <c r="V24" s="39">
        <f>'PLAN Zahlen'!N27</f>
        <v>32000</v>
      </c>
      <c r="W24" s="64">
        <f>'IST Zahlen'!N25</f>
        <v>21000</v>
      </c>
      <c r="X24" s="39">
        <f>'PLAN Zahlen'!O27</f>
        <v>32000</v>
      </c>
      <c r="Y24" s="24">
        <f>'IST Zahlen'!O25</f>
        <v>412.2</v>
      </c>
      <c r="Z24" s="39">
        <f>'PLAN Zahlen'!P27</f>
        <v>32000</v>
      </c>
      <c r="AA24" s="24">
        <f>'IST Zahlen'!P25</f>
        <v>8269.4399999999987</v>
      </c>
      <c r="AB24" s="39">
        <f>'PLAN Zahlen'!Q27</f>
        <v>32000</v>
      </c>
      <c r="AC24" s="24">
        <f>'IST Zahlen'!Q25</f>
        <v>18667.96</v>
      </c>
      <c r="AD24" s="39">
        <f>'PLAN Zahlen'!R27</f>
        <v>32000</v>
      </c>
      <c r="AE24" s="24">
        <f>'IST Zahlen'!R25</f>
        <v>43291.199999999997</v>
      </c>
      <c r="AF24" s="39">
        <f>'PLAN Zahlen'!S27</f>
        <v>32000</v>
      </c>
      <c r="AG24" s="24">
        <f>'IST Zahlen'!S25</f>
        <v>28919</v>
      </c>
      <c r="AH24" s="39"/>
    </row>
    <row r="25" spans="2:34" x14ac:dyDescent="0.2">
      <c r="B25" s="49"/>
      <c r="E25" s="88"/>
      <c r="F25" s="38"/>
      <c r="G25" s="63"/>
      <c r="H25" s="38"/>
      <c r="I25" s="7">
        <f>'IST Zahlen'!G26</f>
        <v>0</v>
      </c>
      <c r="J25" s="36">
        <f>'PLAN Zahlen'!H28</f>
        <v>0</v>
      </c>
      <c r="K25" s="7">
        <f>'IST Zahlen'!H26</f>
        <v>0</v>
      </c>
      <c r="L25" s="36">
        <f>'PLAN Zahlen'!I28</f>
        <v>0</v>
      </c>
      <c r="M25" s="7">
        <f>'IST Zahlen'!I26</f>
        <v>0</v>
      </c>
      <c r="N25" s="36">
        <f>'PLAN Zahlen'!J28</f>
        <v>0</v>
      </c>
      <c r="O25" s="7">
        <f>'IST Zahlen'!J26</f>
        <v>0</v>
      </c>
      <c r="P25" s="36">
        <f>'PLAN Zahlen'!K28</f>
        <v>0</v>
      </c>
      <c r="Q25" s="7">
        <f>'IST Zahlen'!K26</f>
        <v>0</v>
      </c>
      <c r="R25" s="36">
        <f>'PLAN Zahlen'!L28</f>
        <v>0</v>
      </c>
      <c r="S25" s="7">
        <f>'IST Zahlen'!L26</f>
        <v>0</v>
      </c>
      <c r="T25" s="36">
        <f>'PLAN Zahlen'!M28</f>
        <v>0</v>
      </c>
      <c r="U25" s="7">
        <f>'IST Zahlen'!M26</f>
        <v>0</v>
      </c>
      <c r="V25" s="36">
        <f>'PLAN Zahlen'!N28</f>
        <v>0</v>
      </c>
      <c r="W25" s="7">
        <f>'IST Zahlen'!N26</f>
        <v>0</v>
      </c>
      <c r="X25" s="36">
        <f>'PLAN Zahlen'!O28</f>
        <v>0</v>
      </c>
      <c r="Y25" s="7">
        <f>'IST Zahlen'!O26</f>
        <v>0</v>
      </c>
      <c r="Z25" s="36">
        <f>'PLAN Zahlen'!P28</f>
        <v>0</v>
      </c>
      <c r="AA25" s="7">
        <f>'IST Zahlen'!P26</f>
        <v>0</v>
      </c>
      <c r="AB25" s="36">
        <f>'PLAN Zahlen'!Q28</f>
        <v>0</v>
      </c>
      <c r="AC25" s="7">
        <f>'IST Zahlen'!Q26</f>
        <v>0</v>
      </c>
      <c r="AD25" s="36">
        <f>'PLAN Zahlen'!R28</f>
        <v>0</v>
      </c>
      <c r="AE25" s="7">
        <f>'IST Zahlen'!R26</f>
        <v>0</v>
      </c>
      <c r="AF25" s="36">
        <f>'PLAN Zahlen'!S28</f>
        <v>0</v>
      </c>
      <c r="AG25" s="7">
        <f>'IST Zahlen'!S26</f>
        <v>0</v>
      </c>
      <c r="AH25" s="36"/>
    </row>
    <row r="26" spans="2:34" x14ac:dyDescent="0.2">
      <c r="B26" s="49" t="str">
        <f>'PLAN Zahlen'!B29</f>
        <v>2.</v>
      </c>
      <c r="C26" s="3" t="s">
        <v>31</v>
      </c>
      <c r="E26" s="86"/>
      <c r="F26" s="36">
        <f>'PLAN Zahlen'!F29</f>
        <v>0</v>
      </c>
      <c r="G26" s="7">
        <f>'IST Zahlen'!F27</f>
        <v>0</v>
      </c>
      <c r="H26" s="36">
        <f>'PLAN Zahlen'!G29</f>
        <v>0</v>
      </c>
      <c r="I26" s="7">
        <f>'IST Zahlen'!G27</f>
        <v>0</v>
      </c>
      <c r="J26" s="36">
        <f>'PLAN Zahlen'!H29</f>
        <v>0</v>
      </c>
      <c r="K26" s="7">
        <f>'IST Zahlen'!H27</f>
        <v>0</v>
      </c>
      <c r="L26" s="36">
        <f>'PLAN Zahlen'!I29</f>
        <v>0</v>
      </c>
      <c r="M26" s="7">
        <f>'IST Zahlen'!I27</f>
        <v>0</v>
      </c>
      <c r="N26" s="36">
        <f>'PLAN Zahlen'!J29</f>
        <v>0</v>
      </c>
      <c r="O26" s="7">
        <f>'IST Zahlen'!J27</f>
        <v>0</v>
      </c>
      <c r="P26" s="36">
        <f>'PLAN Zahlen'!K29</f>
        <v>0</v>
      </c>
      <c r="Q26" s="7">
        <f>'IST Zahlen'!K27</f>
        <v>0</v>
      </c>
      <c r="R26" s="36">
        <f>'PLAN Zahlen'!L29</f>
        <v>0</v>
      </c>
      <c r="S26" s="7">
        <f>'IST Zahlen'!L27</f>
        <v>0</v>
      </c>
      <c r="T26" s="36">
        <f>'PLAN Zahlen'!M29</f>
        <v>0</v>
      </c>
      <c r="U26" s="7">
        <f>'IST Zahlen'!M27</f>
        <v>0</v>
      </c>
      <c r="V26" s="36">
        <f>'PLAN Zahlen'!N29</f>
        <v>0</v>
      </c>
      <c r="W26" s="7">
        <f>'IST Zahlen'!N27</f>
        <v>0</v>
      </c>
      <c r="X26" s="36">
        <f>'PLAN Zahlen'!O29</f>
        <v>0</v>
      </c>
      <c r="Y26" s="7">
        <f>'IST Zahlen'!O27</f>
        <v>0</v>
      </c>
      <c r="Z26" s="36">
        <f>'PLAN Zahlen'!P29</f>
        <v>0</v>
      </c>
      <c r="AA26" s="7">
        <f>'IST Zahlen'!P27</f>
        <v>0</v>
      </c>
      <c r="AB26" s="36">
        <f>'PLAN Zahlen'!Q29</f>
        <v>0</v>
      </c>
      <c r="AC26" s="7">
        <f>'IST Zahlen'!Q27</f>
        <v>0</v>
      </c>
      <c r="AD26" s="36">
        <f>'PLAN Zahlen'!R29</f>
        <v>0</v>
      </c>
      <c r="AE26" s="7">
        <f>'IST Zahlen'!R27</f>
        <v>0</v>
      </c>
      <c r="AF26" s="36">
        <f>'PLAN Zahlen'!S29</f>
        <v>0</v>
      </c>
      <c r="AG26" s="7">
        <f>'IST Zahlen'!S27</f>
        <v>0</v>
      </c>
      <c r="AH26" s="36"/>
    </row>
    <row r="27" spans="2:34" x14ac:dyDescent="0.2">
      <c r="B27" s="49"/>
      <c r="E27" s="86"/>
      <c r="F27" s="36">
        <f>'PLAN Zahlen'!F30</f>
        <v>0</v>
      </c>
      <c r="G27" s="7">
        <f>'IST Zahlen'!F28</f>
        <v>0</v>
      </c>
      <c r="H27" s="36">
        <f>'PLAN Zahlen'!G30</f>
        <v>0</v>
      </c>
      <c r="I27" s="7">
        <f>'IST Zahlen'!G28</f>
        <v>0</v>
      </c>
      <c r="J27" s="36">
        <f>'PLAN Zahlen'!H30</f>
        <v>0</v>
      </c>
      <c r="K27" s="7">
        <f>'IST Zahlen'!H28</f>
        <v>0</v>
      </c>
      <c r="L27" s="36">
        <f>'PLAN Zahlen'!I30</f>
        <v>0</v>
      </c>
      <c r="M27" s="7">
        <f>'IST Zahlen'!I28</f>
        <v>0</v>
      </c>
      <c r="N27" s="36">
        <f>'PLAN Zahlen'!J30</f>
        <v>0</v>
      </c>
      <c r="O27" s="7">
        <f>'IST Zahlen'!J28</f>
        <v>0</v>
      </c>
      <c r="P27" s="36">
        <f>'PLAN Zahlen'!K30</f>
        <v>0</v>
      </c>
      <c r="Q27" s="7">
        <f>'IST Zahlen'!K28</f>
        <v>0</v>
      </c>
      <c r="R27" s="36">
        <f>'PLAN Zahlen'!L30</f>
        <v>0</v>
      </c>
      <c r="S27" s="7">
        <f>'IST Zahlen'!L28</f>
        <v>0</v>
      </c>
      <c r="T27" s="36">
        <f>'PLAN Zahlen'!M30</f>
        <v>0</v>
      </c>
      <c r="U27" s="7">
        <f>'IST Zahlen'!M28</f>
        <v>0</v>
      </c>
      <c r="V27" s="36">
        <f>'PLAN Zahlen'!N30</f>
        <v>0</v>
      </c>
      <c r="W27" s="7">
        <f>'IST Zahlen'!N28</f>
        <v>0</v>
      </c>
      <c r="X27" s="36">
        <f>'PLAN Zahlen'!O30</f>
        <v>0</v>
      </c>
      <c r="Y27" s="7">
        <f>'IST Zahlen'!O28</f>
        <v>0</v>
      </c>
      <c r="Z27" s="36">
        <f>'PLAN Zahlen'!P30</f>
        <v>0</v>
      </c>
      <c r="AA27" s="7">
        <f>'IST Zahlen'!P28</f>
        <v>0</v>
      </c>
      <c r="AB27" s="36">
        <f>'PLAN Zahlen'!Q30</f>
        <v>0</v>
      </c>
      <c r="AC27" s="7">
        <f>'IST Zahlen'!Q28</f>
        <v>0</v>
      </c>
      <c r="AD27" s="36">
        <f>'PLAN Zahlen'!R30</f>
        <v>0</v>
      </c>
      <c r="AE27" s="7">
        <f>'IST Zahlen'!R28</f>
        <v>0</v>
      </c>
      <c r="AF27" s="36">
        <f>'PLAN Zahlen'!S30</f>
        <v>0</v>
      </c>
      <c r="AG27" s="7">
        <f>'IST Zahlen'!S28</f>
        <v>0</v>
      </c>
      <c r="AH27" s="36"/>
    </row>
    <row r="28" spans="2:34" x14ac:dyDescent="0.2">
      <c r="B28" s="49" t="str">
        <f>'PLAN Zahlen'!B31</f>
        <v>2.1.</v>
      </c>
      <c r="C28" s="5" t="str">
        <f>'PLAN Zahlen'!C31</f>
        <v>Materialkosten</v>
      </c>
      <c r="D28" s="5"/>
      <c r="E28" s="86">
        <v>0</v>
      </c>
      <c r="F28" s="36">
        <f>'PLAN Zahlen'!F31</f>
        <v>0</v>
      </c>
      <c r="G28" s="7">
        <f>'IST Zahlen'!F29</f>
        <v>0</v>
      </c>
      <c r="H28" s="36">
        <f>'PLAN Zahlen'!G31</f>
        <v>0</v>
      </c>
      <c r="I28" s="7">
        <f>'IST Zahlen'!G29</f>
        <v>0</v>
      </c>
      <c r="J28" s="36">
        <f>'PLAN Zahlen'!H31</f>
        <v>0</v>
      </c>
      <c r="K28" s="7">
        <f>'IST Zahlen'!H29</f>
        <v>0</v>
      </c>
      <c r="L28" s="36">
        <f>'PLAN Zahlen'!I31</f>
        <v>0</v>
      </c>
      <c r="M28" s="7">
        <f>'IST Zahlen'!I29</f>
        <v>0</v>
      </c>
      <c r="N28" s="36">
        <f>'PLAN Zahlen'!J31</f>
        <v>0</v>
      </c>
      <c r="O28" s="7">
        <f>'IST Zahlen'!J29</f>
        <v>0</v>
      </c>
      <c r="P28" s="36">
        <f>'PLAN Zahlen'!K31</f>
        <v>0</v>
      </c>
      <c r="Q28" s="7">
        <f>'IST Zahlen'!K29</f>
        <v>0</v>
      </c>
      <c r="R28" s="36">
        <f>'PLAN Zahlen'!L31</f>
        <v>0</v>
      </c>
      <c r="S28" s="7">
        <f>'IST Zahlen'!L29</f>
        <v>0</v>
      </c>
      <c r="T28" s="36">
        <f>'PLAN Zahlen'!M31</f>
        <v>0</v>
      </c>
      <c r="U28" s="7">
        <f>'IST Zahlen'!M29</f>
        <v>0</v>
      </c>
      <c r="V28" s="36">
        <f>'PLAN Zahlen'!N31</f>
        <v>0</v>
      </c>
      <c r="W28" s="7">
        <f>'IST Zahlen'!N29</f>
        <v>0</v>
      </c>
      <c r="X28" s="36">
        <f>'PLAN Zahlen'!O31</f>
        <v>0</v>
      </c>
      <c r="Y28" s="7">
        <f>'IST Zahlen'!O29</f>
        <v>0</v>
      </c>
      <c r="Z28" s="36">
        <f>'PLAN Zahlen'!P31</f>
        <v>0</v>
      </c>
      <c r="AA28" s="7">
        <f>'IST Zahlen'!P29</f>
        <v>0</v>
      </c>
      <c r="AB28" s="36">
        <f>'PLAN Zahlen'!Q31</f>
        <v>0</v>
      </c>
      <c r="AC28" s="7">
        <f>'IST Zahlen'!Q29</f>
        <v>0</v>
      </c>
      <c r="AD28" s="36">
        <f>'PLAN Zahlen'!R31</f>
        <v>0</v>
      </c>
      <c r="AE28" s="7">
        <f>'IST Zahlen'!R29</f>
        <v>0</v>
      </c>
      <c r="AF28" s="36">
        <f>'PLAN Zahlen'!S31</f>
        <v>0</v>
      </c>
      <c r="AG28" s="7">
        <f>'IST Zahlen'!S29</f>
        <v>0</v>
      </c>
      <c r="AH28" s="36"/>
    </row>
    <row r="29" spans="2:34" x14ac:dyDescent="0.2">
      <c r="B29" s="49" t="str">
        <f>'PLAN Zahlen'!B32</f>
        <v>2.2.</v>
      </c>
      <c r="C29" s="5" t="str">
        <f>'PLAN Zahlen'!C32</f>
        <v>Löhne und Gehälter</v>
      </c>
      <c r="D29" s="5"/>
      <c r="E29" s="90"/>
      <c r="F29" s="36">
        <f>'PLAN Zahlen'!F32</f>
        <v>0</v>
      </c>
      <c r="G29" s="7">
        <f>'IST Zahlen'!F30</f>
        <v>0</v>
      </c>
      <c r="H29" s="36">
        <f>'PLAN Zahlen'!G32</f>
        <v>0</v>
      </c>
      <c r="I29" s="7">
        <f>'IST Zahlen'!G30</f>
        <v>0</v>
      </c>
      <c r="J29" s="36">
        <f>'PLAN Zahlen'!H32</f>
        <v>0</v>
      </c>
      <c r="K29" s="7">
        <f>'IST Zahlen'!H30</f>
        <v>0</v>
      </c>
      <c r="L29" s="36">
        <f>'PLAN Zahlen'!I32</f>
        <v>0</v>
      </c>
      <c r="M29" s="7">
        <f>'IST Zahlen'!I30</f>
        <v>0</v>
      </c>
      <c r="N29" s="36">
        <f>'PLAN Zahlen'!J32</f>
        <v>0</v>
      </c>
      <c r="O29" s="7">
        <f>'IST Zahlen'!J30</f>
        <v>0</v>
      </c>
      <c r="P29" s="36">
        <f>'PLAN Zahlen'!K32</f>
        <v>0</v>
      </c>
      <c r="Q29" s="7">
        <f>'IST Zahlen'!K30</f>
        <v>0</v>
      </c>
      <c r="R29" s="36">
        <f>'PLAN Zahlen'!L32</f>
        <v>0</v>
      </c>
      <c r="S29" s="7">
        <f>'IST Zahlen'!L30</f>
        <v>0</v>
      </c>
      <c r="T29" s="36">
        <f>'PLAN Zahlen'!M32</f>
        <v>0</v>
      </c>
      <c r="U29" s="7">
        <f>'IST Zahlen'!M30</f>
        <v>0</v>
      </c>
      <c r="V29" s="36">
        <f>'PLAN Zahlen'!N32</f>
        <v>0</v>
      </c>
      <c r="W29" s="7">
        <f>'IST Zahlen'!N30</f>
        <v>0</v>
      </c>
      <c r="X29" s="36">
        <f>'PLAN Zahlen'!O32</f>
        <v>0</v>
      </c>
      <c r="Y29" s="7">
        <f>'IST Zahlen'!O30</f>
        <v>0</v>
      </c>
      <c r="Z29" s="36">
        <f>'PLAN Zahlen'!P32</f>
        <v>0</v>
      </c>
      <c r="AA29" s="7">
        <f>'IST Zahlen'!P30</f>
        <v>0</v>
      </c>
      <c r="AB29" s="36">
        <f>'PLAN Zahlen'!Q32</f>
        <v>0</v>
      </c>
      <c r="AC29" s="7">
        <f>'IST Zahlen'!Q30</f>
        <v>0</v>
      </c>
      <c r="AD29" s="36">
        <f>'PLAN Zahlen'!R32</f>
        <v>0</v>
      </c>
      <c r="AE29" s="7">
        <f>'IST Zahlen'!R30</f>
        <v>0</v>
      </c>
      <c r="AF29" s="36">
        <f>'PLAN Zahlen'!S32</f>
        <v>0</v>
      </c>
      <c r="AG29" s="7">
        <f>'IST Zahlen'!S30</f>
        <v>0</v>
      </c>
      <c r="AH29" s="40"/>
    </row>
    <row r="30" spans="2:34" x14ac:dyDescent="0.2">
      <c r="B30" s="49">
        <f>'PLAN Zahlen'!B33</f>
        <v>0</v>
      </c>
      <c r="C30" s="76" t="str">
        <f>'PLAN Zahlen'!C33</f>
        <v>Löhne</v>
      </c>
      <c r="E30" s="86">
        <v>0</v>
      </c>
      <c r="F30" s="36">
        <f>'PLAN Zahlen'!F33</f>
        <v>0</v>
      </c>
      <c r="G30" s="7">
        <f>'IST Zahlen'!F31</f>
        <v>0</v>
      </c>
      <c r="H30" s="36">
        <f>'PLAN Zahlen'!G33</f>
        <v>0</v>
      </c>
      <c r="I30" s="7">
        <f>'IST Zahlen'!G31</f>
        <v>0</v>
      </c>
      <c r="J30" s="36">
        <f>'PLAN Zahlen'!H33</f>
        <v>0</v>
      </c>
      <c r="K30" s="7">
        <f>'IST Zahlen'!H31</f>
        <v>0</v>
      </c>
      <c r="L30" s="36">
        <f>'PLAN Zahlen'!I33</f>
        <v>0</v>
      </c>
      <c r="M30" s="7">
        <f>'IST Zahlen'!I31</f>
        <v>0</v>
      </c>
      <c r="N30" s="36">
        <f>'PLAN Zahlen'!J33</f>
        <v>0</v>
      </c>
      <c r="O30" s="7">
        <f>'IST Zahlen'!J31</f>
        <v>0</v>
      </c>
      <c r="P30" s="36">
        <f>'PLAN Zahlen'!K33</f>
        <v>0</v>
      </c>
      <c r="Q30" s="7">
        <f>'IST Zahlen'!K31</f>
        <v>0</v>
      </c>
      <c r="R30" s="36">
        <f>'PLAN Zahlen'!L33</f>
        <v>0</v>
      </c>
      <c r="S30" s="7">
        <f>'IST Zahlen'!L31</f>
        <v>0</v>
      </c>
      <c r="T30" s="36">
        <f>'PLAN Zahlen'!M33</f>
        <v>0</v>
      </c>
      <c r="U30" s="7">
        <f>'IST Zahlen'!M31</f>
        <v>0</v>
      </c>
      <c r="V30" s="36">
        <f>'PLAN Zahlen'!N33</f>
        <v>0</v>
      </c>
      <c r="W30" s="7">
        <f>'IST Zahlen'!N31</f>
        <v>0</v>
      </c>
      <c r="X30" s="36">
        <f>'PLAN Zahlen'!O33</f>
        <v>0</v>
      </c>
      <c r="Y30" s="7">
        <f>'IST Zahlen'!O31</f>
        <v>0</v>
      </c>
      <c r="Z30" s="36">
        <f>'PLAN Zahlen'!P33</f>
        <v>0</v>
      </c>
      <c r="AA30" s="7">
        <f>'IST Zahlen'!P31</f>
        <v>0</v>
      </c>
      <c r="AB30" s="36">
        <f>'PLAN Zahlen'!Q33</f>
        <v>0</v>
      </c>
      <c r="AC30" s="7">
        <f>'IST Zahlen'!Q31</f>
        <v>0</v>
      </c>
      <c r="AD30" s="36">
        <f>'PLAN Zahlen'!R33</f>
        <v>0</v>
      </c>
      <c r="AE30" s="7">
        <f>'IST Zahlen'!R31</f>
        <v>0</v>
      </c>
      <c r="AF30" s="36">
        <f>'PLAN Zahlen'!S33</f>
        <v>0</v>
      </c>
      <c r="AG30" s="7">
        <f>'IST Zahlen'!S31</f>
        <v>0</v>
      </c>
      <c r="AH30" s="36"/>
    </row>
    <row r="31" spans="2:34" x14ac:dyDescent="0.2">
      <c r="B31" s="49">
        <f>'PLAN Zahlen'!B34</f>
        <v>0</v>
      </c>
      <c r="C31" s="76" t="str">
        <f>'PLAN Zahlen'!C34</f>
        <v>Gehälter</v>
      </c>
      <c r="E31" s="86">
        <v>0</v>
      </c>
      <c r="F31" s="36">
        <f>'PLAN Zahlen'!F34</f>
        <v>-3600</v>
      </c>
      <c r="G31" s="7">
        <f>'IST Zahlen'!F32</f>
        <v>0</v>
      </c>
      <c r="H31" s="36">
        <f>'PLAN Zahlen'!G34</f>
        <v>-3600</v>
      </c>
      <c r="I31" s="7">
        <f>'IST Zahlen'!G32</f>
        <v>0</v>
      </c>
      <c r="J31" s="36">
        <f>'PLAN Zahlen'!H34</f>
        <v>-5600</v>
      </c>
      <c r="K31" s="7">
        <f>'IST Zahlen'!H32</f>
        <v>0</v>
      </c>
      <c r="L31" s="36">
        <f>'PLAN Zahlen'!I34</f>
        <v>-5600</v>
      </c>
      <c r="M31" s="7">
        <f>'IST Zahlen'!I32</f>
        <v>0</v>
      </c>
      <c r="N31" s="36">
        <f>'PLAN Zahlen'!J34</f>
        <v>-5600</v>
      </c>
      <c r="O31" s="7">
        <f>'IST Zahlen'!J32</f>
        <v>0</v>
      </c>
      <c r="P31" s="36">
        <f>'PLAN Zahlen'!K34</f>
        <v>-5600</v>
      </c>
      <c r="Q31" s="7">
        <f>'IST Zahlen'!K32</f>
        <v>0</v>
      </c>
      <c r="R31" s="36">
        <f>'PLAN Zahlen'!L34</f>
        <v>-5600</v>
      </c>
      <c r="S31" s="7">
        <f>'IST Zahlen'!L32</f>
        <v>0</v>
      </c>
      <c r="T31" s="36">
        <f>'PLAN Zahlen'!M34</f>
        <v>-5600</v>
      </c>
      <c r="U31" s="7">
        <f>'IST Zahlen'!M32</f>
        <v>0</v>
      </c>
      <c r="V31" s="36">
        <f>'PLAN Zahlen'!N34</f>
        <v>-5600</v>
      </c>
      <c r="W31" s="7">
        <f>'IST Zahlen'!N32</f>
        <v>-1376.89</v>
      </c>
      <c r="X31" s="36">
        <f>'PLAN Zahlen'!O34</f>
        <v>-5600</v>
      </c>
      <c r="Y31" s="7">
        <f>'IST Zahlen'!O32</f>
        <v>-1376.89</v>
      </c>
      <c r="Z31" s="36">
        <f>'PLAN Zahlen'!P34</f>
        <v>-5600</v>
      </c>
      <c r="AA31" s="7">
        <f>'IST Zahlen'!P32</f>
        <v>-1376.89</v>
      </c>
      <c r="AB31" s="36">
        <f>'PLAN Zahlen'!Q34</f>
        <v>-5600</v>
      </c>
      <c r="AC31" s="7">
        <f>'IST Zahlen'!Q32</f>
        <v>-1376.89</v>
      </c>
      <c r="AD31" s="36">
        <f>'PLAN Zahlen'!R34</f>
        <v>-5600</v>
      </c>
      <c r="AE31" s="7">
        <f>'IST Zahlen'!R32</f>
        <v>-5853.92</v>
      </c>
      <c r="AF31" s="36">
        <f>'PLAN Zahlen'!S34</f>
        <v>-5600</v>
      </c>
      <c r="AG31" s="7">
        <f>'IST Zahlen'!S32</f>
        <v>-5098.24</v>
      </c>
      <c r="AH31" s="36"/>
    </row>
    <row r="32" spans="2:34" x14ac:dyDescent="0.2">
      <c r="B32" s="49">
        <f>'PLAN Zahlen'!B35</f>
        <v>0</v>
      </c>
      <c r="C32" s="76" t="str">
        <f>'PLAN Zahlen'!C35</f>
        <v>Sozialversicherung</v>
      </c>
      <c r="E32" s="86">
        <v>0</v>
      </c>
      <c r="F32" s="36">
        <f>'PLAN Zahlen'!F35</f>
        <v>-3180.54</v>
      </c>
      <c r="G32" s="7">
        <f>'IST Zahlen'!F33</f>
        <v>0</v>
      </c>
      <c r="H32" s="36">
        <f>'PLAN Zahlen'!G35</f>
        <v>-2142</v>
      </c>
      <c r="I32" s="7">
        <f>'IST Zahlen'!G33</f>
        <v>0</v>
      </c>
      <c r="J32" s="36">
        <f>'PLAN Zahlen'!J35</f>
        <v>-2400</v>
      </c>
      <c r="K32" s="7">
        <f>'IST Zahlen'!H33</f>
        <v>0</v>
      </c>
      <c r="L32" s="36">
        <f>'PLAN Zahlen'!K35</f>
        <v>-2400</v>
      </c>
      <c r="M32" s="7">
        <f>'IST Zahlen'!I33</f>
        <v>0</v>
      </c>
      <c r="N32" s="36">
        <f>'PLAN Zahlen'!L35</f>
        <v>-2400</v>
      </c>
      <c r="O32" s="7">
        <f>'IST Zahlen'!J33</f>
        <v>0</v>
      </c>
      <c r="P32" s="36">
        <f>'PLAN Zahlen'!M35</f>
        <v>-2400</v>
      </c>
      <c r="Q32" s="7">
        <f>'IST Zahlen'!K33</f>
        <v>0</v>
      </c>
      <c r="R32" s="36">
        <f>'PLAN Zahlen'!N35</f>
        <v>-2400</v>
      </c>
      <c r="S32" s="7">
        <f>'IST Zahlen'!L33</f>
        <v>0</v>
      </c>
      <c r="T32" s="36">
        <f>'PLAN Zahlen'!O35</f>
        <v>-2400</v>
      </c>
      <c r="U32" s="7">
        <f>'IST Zahlen'!M33</f>
        <v>0</v>
      </c>
      <c r="V32" s="36">
        <f>'PLAN Zahlen'!P35</f>
        <v>-2400</v>
      </c>
      <c r="W32" s="7">
        <f>'IST Zahlen'!N33</f>
        <v>-822.14</v>
      </c>
      <c r="X32" s="36">
        <f>'PLAN Zahlen'!Q35</f>
        <v>-2400</v>
      </c>
      <c r="Y32" s="7">
        <f>'IST Zahlen'!O33</f>
        <v>-1644</v>
      </c>
      <c r="Z32" s="36">
        <f>'PLAN Zahlen'!R35</f>
        <v>-2400</v>
      </c>
      <c r="AA32" s="7">
        <f>'IST Zahlen'!P33</f>
        <v>-822.14</v>
      </c>
      <c r="AB32" s="36">
        <f>'PLAN Zahlen'!S35</f>
        <v>-2400</v>
      </c>
      <c r="AC32" s="7">
        <f>'IST Zahlen'!Q33</f>
        <v>-822.14</v>
      </c>
      <c r="AD32" s="36">
        <f>'PLAN Zahlen'!T35</f>
        <v>-2400</v>
      </c>
      <c r="AE32" s="7">
        <f>'IST Zahlen'!R33</f>
        <v>0</v>
      </c>
      <c r="AF32" s="36">
        <f>'PLAN Zahlen'!U35</f>
        <v>-2400</v>
      </c>
      <c r="AG32" s="7">
        <f>'IST Zahlen'!S33</f>
        <v>-3095.4</v>
      </c>
      <c r="AH32" s="36"/>
    </row>
    <row r="33" spans="2:34" x14ac:dyDescent="0.2">
      <c r="B33" s="49">
        <f>'PLAN Zahlen'!B36</f>
        <v>0</v>
      </c>
      <c r="C33" s="76" t="str">
        <f>'PLAN Zahlen'!C36</f>
        <v>Lohnsteuer</v>
      </c>
      <c r="E33" s="86">
        <v>0</v>
      </c>
      <c r="F33" s="36">
        <f>'PLAN Zahlen'!F36</f>
        <v>-250</v>
      </c>
      <c r="G33" s="7">
        <f>'IST Zahlen'!F34</f>
        <v>0</v>
      </c>
      <c r="H33" s="36">
        <f>'PLAN Zahlen'!G36</f>
        <v>-250</v>
      </c>
      <c r="I33" s="7">
        <f>'IST Zahlen'!G34</f>
        <v>0</v>
      </c>
      <c r="J33" s="36">
        <f>'PLAN Zahlen'!H36</f>
        <v>-300</v>
      </c>
      <c r="K33" s="7">
        <f>'IST Zahlen'!H34</f>
        <v>0</v>
      </c>
      <c r="L33" s="36">
        <f>'PLAN Zahlen'!I36</f>
        <v>-300</v>
      </c>
      <c r="M33" s="7">
        <f>'IST Zahlen'!I34</f>
        <v>0</v>
      </c>
      <c r="N33" s="36">
        <f>'PLAN Zahlen'!J36</f>
        <v>-300</v>
      </c>
      <c r="O33" s="7">
        <f>'IST Zahlen'!J34</f>
        <v>0</v>
      </c>
      <c r="P33" s="36">
        <f>'PLAN Zahlen'!K36</f>
        <v>-300</v>
      </c>
      <c r="Q33" s="7">
        <f>'IST Zahlen'!K34</f>
        <v>0</v>
      </c>
      <c r="R33" s="36">
        <f>'PLAN Zahlen'!L36</f>
        <v>-300</v>
      </c>
      <c r="S33" s="7">
        <f>'IST Zahlen'!L34</f>
        <v>0</v>
      </c>
      <c r="T33" s="36">
        <f>'PLAN Zahlen'!M36</f>
        <v>-300</v>
      </c>
      <c r="U33" s="7">
        <f>'IST Zahlen'!M34</f>
        <v>0</v>
      </c>
      <c r="V33" s="36">
        <f>'PLAN Zahlen'!N36</f>
        <v>-300</v>
      </c>
      <c r="W33" s="7">
        <f>'IST Zahlen'!N34</f>
        <v>-143.58000000000001</v>
      </c>
      <c r="X33" s="36">
        <f>'PLAN Zahlen'!O36</f>
        <v>-300</v>
      </c>
      <c r="Y33" s="7">
        <f>'IST Zahlen'!O34</f>
        <v>-143.58000000000001</v>
      </c>
      <c r="Z33" s="36">
        <f>'PLAN Zahlen'!P36</f>
        <v>-300</v>
      </c>
      <c r="AA33" s="7">
        <f>'IST Zahlen'!P34</f>
        <v>-143.58000000000001</v>
      </c>
      <c r="AB33" s="36">
        <f>'PLAN Zahlen'!Q36</f>
        <v>-300</v>
      </c>
      <c r="AC33" s="7">
        <f>'IST Zahlen'!Q34</f>
        <v>-143.58000000000001</v>
      </c>
      <c r="AD33" s="36">
        <f>'PLAN Zahlen'!R36</f>
        <v>-300</v>
      </c>
      <c r="AE33" s="7">
        <f>'IST Zahlen'!R34</f>
        <v>-430.74</v>
      </c>
      <c r="AF33" s="36">
        <f>'PLAN Zahlen'!S36</f>
        <v>-300</v>
      </c>
      <c r="AG33" s="7">
        <f>'IST Zahlen'!S34</f>
        <v>-144.58000000000001</v>
      </c>
      <c r="AH33" s="36"/>
    </row>
    <row r="34" spans="2:34" x14ac:dyDescent="0.2">
      <c r="B34" s="49">
        <f>'PLAN Zahlen'!B37</f>
        <v>0</v>
      </c>
      <c r="C34" s="76" t="str">
        <f>'PLAN Zahlen'!C37</f>
        <v xml:space="preserve">Sonstiges </v>
      </c>
      <c r="E34" s="86">
        <v>0</v>
      </c>
      <c r="F34" s="36">
        <f>'PLAN Zahlen'!F37</f>
        <v>0</v>
      </c>
      <c r="G34" s="7">
        <f>'IST Zahlen'!F35</f>
        <v>0</v>
      </c>
      <c r="H34" s="36">
        <f>'PLAN Zahlen'!G37</f>
        <v>0</v>
      </c>
      <c r="I34" s="7">
        <f>'IST Zahlen'!G35</f>
        <v>0</v>
      </c>
      <c r="J34" s="36">
        <f>'PLAN Zahlen'!H37</f>
        <v>0</v>
      </c>
      <c r="K34" s="7">
        <f>'IST Zahlen'!H35</f>
        <v>0</v>
      </c>
      <c r="L34" s="36">
        <f>'PLAN Zahlen'!I37</f>
        <v>0</v>
      </c>
      <c r="M34" s="7">
        <f>'IST Zahlen'!I35</f>
        <v>0</v>
      </c>
      <c r="N34" s="36">
        <f>'PLAN Zahlen'!J37</f>
        <v>0</v>
      </c>
      <c r="O34" s="7">
        <f>'IST Zahlen'!J35</f>
        <v>0</v>
      </c>
      <c r="P34" s="36">
        <f>'PLAN Zahlen'!K37</f>
        <v>0</v>
      </c>
      <c r="Q34" s="7">
        <f>'IST Zahlen'!K35</f>
        <v>0</v>
      </c>
      <c r="R34" s="36">
        <f>'PLAN Zahlen'!L37</f>
        <v>0</v>
      </c>
      <c r="S34" s="7">
        <f>'IST Zahlen'!L35</f>
        <v>0</v>
      </c>
      <c r="T34" s="36">
        <f>'PLAN Zahlen'!M37</f>
        <v>0</v>
      </c>
      <c r="U34" s="7">
        <f>'IST Zahlen'!M35</f>
        <v>0</v>
      </c>
      <c r="V34" s="36">
        <f>'PLAN Zahlen'!N37</f>
        <v>0</v>
      </c>
      <c r="W34" s="7">
        <f>'IST Zahlen'!N35</f>
        <v>0</v>
      </c>
      <c r="X34" s="36">
        <f>'PLAN Zahlen'!O37</f>
        <v>0</v>
      </c>
      <c r="Y34" s="7">
        <f>'IST Zahlen'!O35</f>
        <v>0</v>
      </c>
      <c r="Z34" s="36">
        <f>'PLAN Zahlen'!P37</f>
        <v>0</v>
      </c>
      <c r="AA34" s="7">
        <f>'IST Zahlen'!P35</f>
        <v>0</v>
      </c>
      <c r="AB34" s="36">
        <f>'PLAN Zahlen'!Q37</f>
        <v>0</v>
      </c>
      <c r="AC34" s="7">
        <f>'IST Zahlen'!Q35</f>
        <v>0</v>
      </c>
      <c r="AD34" s="36">
        <f>'PLAN Zahlen'!R37</f>
        <v>0</v>
      </c>
      <c r="AE34" s="7">
        <f>'IST Zahlen'!R35</f>
        <v>0</v>
      </c>
      <c r="AF34" s="36">
        <f>'PLAN Zahlen'!S37</f>
        <v>0</v>
      </c>
      <c r="AG34" s="7">
        <f>'IST Zahlen'!S35</f>
        <v>0</v>
      </c>
      <c r="AH34" s="36"/>
    </row>
    <row r="35" spans="2:34" hidden="1" x14ac:dyDescent="0.2">
      <c r="B35" s="49">
        <f>'PLAN Zahlen'!B38</f>
        <v>0</v>
      </c>
      <c r="C35" s="43" t="str">
        <f>'PLAN Zahlen'!C38</f>
        <v>Gesamtsumme</v>
      </c>
      <c r="D35" s="44"/>
      <c r="E35" s="91">
        <v>0</v>
      </c>
      <c r="F35" s="45">
        <f>'PLAN Zahlen'!F38</f>
        <v>-7030.54</v>
      </c>
      <c r="G35" s="46">
        <f>'IST Zahlen'!F36</f>
        <v>0</v>
      </c>
      <c r="H35" s="45">
        <f>'PLAN Zahlen'!G38</f>
        <v>-5992</v>
      </c>
      <c r="I35" s="46">
        <f>'IST Zahlen'!G36</f>
        <v>0</v>
      </c>
      <c r="J35" s="45">
        <f>'PLAN Zahlen'!H38</f>
        <v>0</v>
      </c>
      <c r="K35" s="46">
        <f>'IST Zahlen'!H36</f>
        <v>0</v>
      </c>
      <c r="L35" s="45">
        <f>'PLAN Zahlen'!I38</f>
        <v>0</v>
      </c>
      <c r="M35" s="46">
        <f>'IST Zahlen'!I36</f>
        <v>0</v>
      </c>
      <c r="N35" s="45">
        <f>'PLAN Zahlen'!J38</f>
        <v>0</v>
      </c>
      <c r="O35" s="46">
        <f>'IST Zahlen'!J36</f>
        <v>0</v>
      </c>
      <c r="P35" s="45">
        <f>'PLAN Zahlen'!K38</f>
        <v>0</v>
      </c>
      <c r="Q35" s="46">
        <f>'IST Zahlen'!K36</f>
        <v>0</v>
      </c>
      <c r="R35" s="45">
        <f>'PLAN Zahlen'!L38</f>
        <v>0</v>
      </c>
      <c r="S35" s="46">
        <f>'IST Zahlen'!L36</f>
        <v>0</v>
      </c>
      <c r="T35" s="45">
        <f>'PLAN Zahlen'!M38</f>
        <v>0</v>
      </c>
      <c r="U35" s="46">
        <f>'IST Zahlen'!M36</f>
        <v>0</v>
      </c>
      <c r="V35" s="45">
        <f>'PLAN Zahlen'!N38</f>
        <v>0</v>
      </c>
      <c r="W35" s="46">
        <f>'IST Zahlen'!N36</f>
        <v>0</v>
      </c>
      <c r="X35" s="45">
        <f>'PLAN Zahlen'!O38</f>
        <v>0</v>
      </c>
      <c r="Y35" s="46">
        <f>'IST Zahlen'!O36</f>
        <v>0</v>
      </c>
      <c r="Z35" s="45">
        <f>'PLAN Zahlen'!P38</f>
        <v>0</v>
      </c>
      <c r="AA35" s="46">
        <f>'IST Zahlen'!P36</f>
        <v>0</v>
      </c>
      <c r="AB35" s="45">
        <f>'PLAN Zahlen'!Q38</f>
        <v>0</v>
      </c>
      <c r="AC35" s="46">
        <f>'IST Zahlen'!Q36</f>
        <v>0</v>
      </c>
      <c r="AD35" s="45">
        <f>'PLAN Zahlen'!R38</f>
        <v>-8300</v>
      </c>
      <c r="AE35" s="46">
        <f>'IST Zahlen'!R36</f>
        <v>0</v>
      </c>
      <c r="AF35" s="45">
        <f>'PLAN Zahlen'!S38</f>
        <v>-8300</v>
      </c>
      <c r="AG35" s="46">
        <f>'IST Zahlen'!S36</f>
        <v>0</v>
      </c>
      <c r="AH35" s="45"/>
    </row>
    <row r="36" spans="2:34" x14ac:dyDescent="0.2">
      <c r="B36" s="49" t="str">
        <f>'PLAN Zahlen'!B39</f>
        <v>2.3.</v>
      </c>
      <c r="C36" s="5" t="str">
        <f>'PLAN Zahlen'!C39</f>
        <v>Umsatzsteuer</v>
      </c>
      <c r="E36" s="86">
        <v>0</v>
      </c>
      <c r="F36" s="36">
        <f>'PLAN Zahlen'!F39</f>
        <v>-3853</v>
      </c>
      <c r="G36" s="7">
        <f>'IST Zahlen'!F37</f>
        <v>0</v>
      </c>
      <c r="H36" s="36">
        <f>'PLAN Zahlen'!G39</f>
        <v>-4151</v>
      </c>
      <c r="I36" s="7">
        <f>'IST Zahlen'!G37</f>
        <v>0</v>
      </c>
      <c r="J36" s="36">
        <f>'PLAN Zahlen'!H39</f>
        <v>-5109</v>
      </c>
      <c r="K36" s="7">
        <f>'IST Zahlen'!H37</f>
        <v>0</v>
      </c>
      <c r="L36" s="36">
        <f>'PLAN Zahlen'!I39</f>
        <v>-5109</v>
      </c>
      <c r="M36" s="7">
        <f>'IST Zahlen'!I37</f>
        <v>0</v>
      </c>
      <c r="N36" s="36">
        <f>'PLAN Zahlen'!J39</f>
        <v>-5109</v>
      </c>
      <c r="O36" s="7">
        <f>'IST Zahlen'!J37</f>
        <v>0</v>
      </c>
      <c r="P36" s="36">
        <f>'PLAN Zahlen'!K39</f>
        <v>-5109</v>
      </c>
      <c r="Q36" s="7">
        <f>'IST Zahlen'!K37</f>
        <v>0</v>
      </c>
      <c r="R36" s="36">
        <f>'PLAN Zahlen'!L39</f>
        <v>-5109</v>
      </c>
      <c r="S36" s="7">
        <f>'IST Zahlen'!L37</f>
        <v>0</v>
      </c>
      <c r="T36" s="36">
        <f>'PLAN Zahlen'!M39</f>
        <v>-5109</v>
      </c>
      <c r="U36" s="7">
        <f>'IST Zahlen'!M37</f>
        <v>0</v>
      </c>
      <c r="V36" s="36">
        <f>'PLAN Zahlen'!N39</f>
        <v>-5109</v>
      </c>
      <c r="W36" s="7">
        <f>'IST Zahlen'!N37</f>
        <v>0</v>
      </c>
      <c r="X36" s="36">
        <f>'PLAN Zahlen'!O39</f>
        <v>-5109</v>
      </c>
      <c r="Y36" s="7">
        <f>'IST Zahlen'!O37</f>
        <v>0</v>
      </c>
      <c r="Z36" s="36">
        <f>'PLAN Zahlen'!P39</f>
        <v>-5109</v>
      </c>
      <c r="AA36" s="7">
        <f>'IST Zahlen'!P37</f>
        <v>0</v>
      </c>
      <c r="AB36" s="36">
        <f>'PLAN Zahlen'!Q39</f>
        <v>-5109</v>
      </c>
      <c r="AC36" s="7">
        <f>'IST Zahlen'!Q37</f>
        <v>0</v>
      </c>
      <c r="AD36" s="36">
        <f>'PLAN Zahlen'!R39</f>
        <v>-5109</v>
      </c>
      <c r="AE36" s="7">
        <f>'IST Zahlen'!R37</f>
        <v>0</v>
      </c>
      <c r="AF36" s="36">
        <f>'PLAN Zahlen'!S39</f>
        <v>-5109</v>
      </c>
      <c r="AG36" s="7">
        <f>'IST Zahlen'!S37</f>
        <v>0</v>
      </c>
      <c r="AH36" s="36"/>
    </row>
    <row r="37" spans="2:34" x14ac:dyDescent="0.2">
      <c r="B37" s="49" t="str">
        <f>'PLAN Zahlen'!B40</f>
        <v>2.4.</v>
      </c>
      <c r="C37" s="5" t="str">
        <f>'PLAN Zahlen'!C40</f>
        <v>Strom/Gas</v>
      </c>
      <c r="E37" s="88">
        <v>0</v>
      </c>
      <c r="F37" s="36">
        <f>'PLAN Zahlen'!F40</f>
        <v>-500</v>
      </c>
      <c r="G37" s="7">
        <f>'IST Zahlen'!F38</f>
        <v>0</v>
      </c>
      <c r="H37" s="36">
        <f>'PLAN Zahlen'!G40</f>
        <v>-500</v>
      </c>
      <c r="I37" s="7">
        <f>'IST Zahlen'!G38</f>
        <v>0</v>
      </c>
      <c r="J37" s="36">
        <f>'PLAN Zahlen'!H40</f>
        <v>-500</v>
      </c>
      <c r="K37" s="7">
        <f>'IST Zahlen'!H38</f>
        <v>0</v>
      </c>
      <c r="L37" s="36">
        <f>'PLAN Zahlen'!I40</f>
        <v>-500</v>
      </c>
      <c r="M37" s="7">
        <f>'IST Zahlen'!I38</f>
        <v>0</v>
      </c>
      <c r="N37" s="36">
        <f>'PLAN Zahlen'!J40</f>
        <v>-500</v>
      </c>
      <c r="O37" s="7">
        <f>'IST Zahlen'!J38</f>
        <v>0</v>
      </c>
      <c r="P37" s="36">
        <f>'PLAN Zahlen'!K40</f>
        <v>-500</v>
      </c>
      <c r="Q37" s="7">
        <f>'IST Zahlen'!K38</f>
        <v>0</v>
      </c>
      <c r="R37" s="36">
        <f>'PLAN Zahlen'!L40</f>
        <v>-500</v>
      </c>
      <c r="S37" s="7">
        <f>'IST Zahlen'!L38</f>
        <v>0</v>
      </c>
      <c r="T37" s="36">
        <f>'PLAN Zahlen'!M40</f>
        <v>-500</v>
      </c>
      <c r="U37" s="7">
        <f>'IST Zahlen'!M38</f>
        <v>0</v>
      </c>
      <c r="V37" s="36">
        <f>'PLAN Zahlen'!N40</f>
        <v>-500</v>
      </c>
      <c r="W37" s="7">
        <f>'IST Zahlen'!N38</f>
        <v>0</v>
      </c>
      <c r="X37" s="36">
        <f>'PLAN Zahlen'!O40</f>
        <v>-500</v>
      </c>
      <c r="Y37" s="7">
        <f>'IST Zahlen'!O38</f>
        <v>0</v>
      </c>
      <c r="Z37" s="36">
        <f>'PLAN Zahlen'!P40</f>
        <v>-500</v>
      </c>
      <c r="AA37" s="7">
        <f>'IST Zahlen'!P38</f>
        <v>0</v>
      </c>
      <c r="AB37" s="36">
        <f>'PLAN Zahlen'!Q40</f>
        <v>-500</v>
      </c>
      <c r="AC37" s="7">
        <f>'IST Zahlen'!Q38</f>
        <v>0</v>
      </c>
      <c r="AD37" s="36">
        <f>'PLAN Zahlen'!R40</f>
        <v>-500</v>
      </c>
      <c r="AE37" s="7">
        <f>'IST Zahlen'!R38</f>
        <v>0</v>
      </c>
      <c r="AF37" s="36">
        <f>'PLAN Zahlen'!S40</f>
        <v>-500</v>
      </c>
      <c r="AG37" s="7">
        <f>'IST Zahlen'!S38</f>
        <v>0</v>
      </c>
      <c r="AH37" s="36"/>
    </row>
    <row r="38" spans="2:34" x14ac:dyDescent="0.2">
      <c r="B38" s="49" t="str">
        <f>'PLAN Zahlen'!B41</f>
        <v>2.5.</v>
      </c>
      <c r="C38" s="5" t="str">
        <f>'PLAN Zahlen'!C41</f>
        <v>Lease/Miete/Tilgung (Fuhrpark)</v>
      </c>
      <c r="E38" s="88">
        <v>0</v>
      </c>
      <c r="F38" s="36">
        <f>'PLAN Zahlen'!F41</f>
        <v>-2606.7800000000002</v>
      </c>
      <c r="G38" s="7">
        <f>'IST Zahlen'!F39</f>
        <v>0</v>
      </c>
      <c r="H38" s="36">
        <f>'PLAN Zahlen'!G41</f>
        <v>-3000</v>
      </c>
      <c r="I38" s="7">
        <f>'IST Zahlen'!G39</f>
        <v>0</v>
      </c>
      <c r="J38" s="36">
        <f>'PLAN Zahlen'!H41</f>
        <v>-5000</v>
      </c>
      <c r="K38" s="7">
        <f>'IST Zahlen'!H39</f>
        <v>0</v>
      </c>
      <c r="L38" s="36">
        <f>'PLAN Zahlen'!I41</f>
        <v>-5000</v>
      </c>
      <c r="M38" s="7">
        <f>'IST Zahlen'!I39</f>
        <v>0</v>
      </c>
      <c r="N38" s="36">
        <f>'PLAN Zahlen'!J41</f>
        <v>-5000</v>
      </c>
      <c r="O38" s="7">
        <f>'IST Zahlen'!J39</f>
        <v>0</v>
      </c>
      <c r="P38" s="36">
        <f>'PLAN Zahlen'!K41</f>
        <v>-5000</v>
      </c>
      <c r="Q38" s="7">
        <f>'IST Zahlen'!K39</f>
        <v>0</v>
      </c>
      <c r="R38" s="36">
        <f>'PLAN Zahlen'!L41</f>
        <v>-5000</v>
      </c>
      <c r="S38" s="7">
        <f>'IST Zahlen'!L39</f>
        <v>0</v>
      </c>
      <c r="T38" s="36">
        <f>'PLAN Zahlen'!M41</f>
        <v>-5000</v>
      </c>
      <c r="U38" s="7">
        <f>'IST Zahlen'!M39</f>
        <v>0</v>
      </c>
      <c r="V38" s="36">
        <f>'PLAN Zahlen'!N41</f>
        <v>-5000</v>
      </c>
      <c r="W38" s="7">
        <f>'IST Zahlen'!N39</f>
        <v>0</v>
      </c>
      <c r="X38" s="36">
        <f>'PLAN Zahlen'!O41</f>
        <v>-5000</v>
      </c>
      <c r="Y38" s="7">
        <f>'IST Zahlen'!O39</f>
        <v>-404.6</v>
      </c>
      <c r="Z38" s="36">
        <f>'PLAN Zahlen'!P41</f>
        <v>-5000</v>
      </c>
      <c r="AA38" s="7">
        <f>'IST Zahlen'!P39</f>
        <v>-1414</v>
      </c>
      <c r="AB38" s="36">
        <f>'PLAN Zahlen'!Q41</f>
        <v>-5000</v>
      </c>
      <c r="AC38" s="7">
        <f>'IST Zahlen'!Q39</f>
        <v>-1827</v>
      </c>
      <c r="AD38" s="36">
        <f>'PLAN Zahlen'!R41</f>
        <v>-5000</v>
      </c>
      <c r="AE38" s="7">
        <f>'IST Zahlen'!R39</f>
        <v>-4096</v>
      </c>
      <c r="AF38" s="36">
        <f>'PLAN Zahlen'!S41</f>
        <v>-5000</v>
      </c>
      <c r="AG38" s="7">
        <f>'IST Zahlen'!S39</f>
        <v>-7992</v>
      </c>
      <c r="AH38" s="36"/>
    </row>
    <row r="39" spans="2:34" x14ac:dyDescent="0.2">
      <c r="B39" s="49" t="str">
        <f>'PLAN Zahlen'!B42</f>
        <v>2.5.</v>
      </c>
      <c r="C39" s="5" t="str">
        <f>'PLAN Zahlen'!C42</f>
        <v>Kraftstoff</v>
      </c>
      <c r="E39" s="88">
        <v>0</v>
      </c>
      <c r="F39" s="36">
        <f>'PLAN Zahlen'!F42</f>
        <v>-2500</v>
      </c>
      <c r="G39" s="7">
        <f>'IST Zahlen'!F40</f>
        <v>0</v>
      </c>
      <c r="H39" s="36">
        <f>'PLAN Zahlen'!G42</f>
        <v>-2500</v>
      </c>
      <c r="I39" s="7">
        <f>'IST Zahlen'!G40</f>
        <v>0</v>
      </c>
      <c r="J39" s="36">
        <f>'PLAN Zahlen'!H42</f>
        <v>-3500</v>
      </c>
      <c r="K39" s="7">
        <f>'IST Zahlen'!H40</f>
        <v>0</v>
      </c>
      <c r="L39" s="36">
        <f>'PLAN Zahlen'!I42</f>
        <v>-3500</v>
      </c>
      <c r="M39" s="7">
        <f>'IST Zahlen'!I40</f>
        <v>0</v>
      </c>
      <c r="N39" s="36">
        <f>'PLAN Zahlen'!J42</f>
        <v>-3500</v>
      </c>
      <c r="O39" s="7">
        <f>'IST Zahlen'!J40</f>
        <v>0</v>
      </c>
      <c r="P39" s="36">
        <f>'PLAN Zahlen'!K42</f>
        <v>-3500</v>
      </c>
      <c r="Q39" s="7">
        <f>'IST Zahlen'!K40</f>
        <v>0</v>
      </c>
      <c r="R39" s="36">
        <f>'PLAN Zahlen'!L42</f>
        <v>-3500</v>
      </c>
      <c r="S39" s="7">
        <f>'IST Zahlen'!L40</f>
        <v>0</v>
      </c>
      <c r="T39" s="36">
        <f>'PLAN Zahlen'!M42</f>
        <v>-3500</v>
      </c>
      <c r="U39" s="7">
        <f>'IST Zahlen'!M40</f>
        <v>0</v>
      </c>
      <c r="V39" s="36">
        <f>'PLAN Zahlen'!N42</f>
        <v>-3500</v>
      </c>
      <c r="W39" s="7">
        <f>'IST Zahlen'!N40</f>
        <v>0</v>
      </c>
      <c r="X39" s="36">
        <f>'PLAN Zahlen'!O42</f>
        <v>-3500</v>
      </c>
      <c r="Y39" s="7">
        <f>'IST Zahlen'!O40</f>
        <v>0</v>
      </c>
      <c r="Z39" s="36">
        <f>'PLAN Zahlen'!P42</f>
        <v>-3500</v>
      </c>
      <c r="AA39" s="7">
        <f>'IST Zahlen'!P40</f>
        <v>-2322</v>
      </c>
      <c r="AB39" s="36">
        <f>'PLAN Zahlen'!Q42</f>
        <v>-3500</v>
      </c>
      <c r="AC39" s="7">
        <f>'IST Zahlen'!Q40</f>
        <v>-4753</v>
      </c>
      <c r="AD39" s="36">
        <f>'PLAN Zahlen'!R42</f>
        <v>-3500</v>
      </c>
      <c r="AE39" s="7">
        <f>'IST Zahlen'!R40</f>
        <v>-8578</v>
      </c>
      <c r="AF39" s="36">
        <f>'PLAN Zahlen'!S42</f>
        <v>-3500</v>
      </c>
      <c r="AG39" s="7">
        <f>'IST Zahlen'!S40</f>
        <v>-6573</v>
      </c>
      <c r="AH39" s="36"/>
    </row>
    <row r="40" spans="2:34" x14ac:dyDescent="0.2">
      <c r="B40" s="49" t="str">
        <f>'PLAN Zahlen'!B43</f>
        <v>2.6.</v>
      </c>
      <c r="C40" s="5" t="str">
        <f>'PLAN Zahlen'!C43</f>
        <v>Miete Geschäftsräume</v>
      </c>
      <c r="E40" s="88">
        <v>0</v>
      </c>
      <c r="F40" s="36">
        <f>'PLAN Zahlen'!F43</f>
        <v>-392</v>
      </c>
      <c r="G40" s="7">
        <f>'IST Zahlen'!F41</f>
        <v>0</v>
      </c>
      <c r="H40" s="36">
        <f>'PLAN Zahlen'!G43</f>
        <v>-500</v>
      </c>
      <c r="I40" s="7">
        <f>'IST Zahlen'!G41</f>
        <v>0</v>
      </c>
      <c r="J40" s="36">
        <f>'PLAN Zahlen'!H43</f>
        <v>-500</v>
      </c>
      <c r="K40" s="7">
        <f>'IST Zahlen'!H41</f>
        <v>0</v>
      </c>
      <c r="L40" s="36">
        <f>'PLAN Zahlen'!I43</f>
        <v>-500</v>
      </c>
      <c r="M40" s="7">
        <f>'IST Zahlen'!I41</f>
        <v>0</v>
      </c>
      <c r="N40" s="36">
        <f>'PLAN Zahlen'!J43</f>
        <v>-500</v>
      </c>
      <c r="O40" s="7">
        <f>'IST Zahlen'!J41</f>
        <v>0</v>
      </c>
      <c r="P40" s="36">
        <f>'PLAN Zahlen'!K43</f>
        <v>-500</v>
      </c>
      <c r="Q40" s="7">
        <f>'IST Zahlen'!K41</f>
        <v>0</v>
      </c>
      <c r="R40" s="36">
        <f>'PLAN Zahlen'!L43</f>
        <v>-500</v>
      </c>
      <c r="S40" s="7">
        <f>'IST Zahlen'!L41</f>
        <v>0</v>
      </c>
      <c r="T40" s="36">
        <f>'PLAN Zahlen'!M43</f>
        <v>-500</v>
      </c>
      <c r="U40" s="7">
        <f>'IST Zahlen'!M41</f>
        <v>0</v>
      </c>
      <c r="V40" s="36">
        <f>'PLAN Zahlen'!N43</f>
        <v>-500</v>
      </c>
      <c r="W40" s="7">
        <f>'IST Zahlen'!N41</f>
        <v>0</v>
      </c>
      <c r="X40" s="36">
        <f>'PLAN Zahlen'!O43</f>
        <v>-500</v>
      </c>
      <c r="Y40" s="7">
        <f>'IST Zahlen'!O41</f>
        <v>0</v>
      </c>
      <c r="Z40" s="36">
        <f>'PLAN Zahlen'!P43</f>
        <v>-500</v>
      </c>
      <c r="AA40" s="7">
        <f>'IST Zahlen'!P41</f>
        <v>0</v>
      </c>
      <c r="AB40" s="36">
        <f>'PLAN Zahlen'!Q43</f>
        <v>-500</v>
      </c>
      <c r="AC40" s="7">
        <f>'IST Zahlen'!Q41</f>
        <v>0</v>
      </c>
      <c r="AD40" s="36">
        <f>'PLAN Zahlen'!R43</f>
        <v>-500</v>
      </c>
      <c r="AE40" s="7">
        <f>'IST Zahlen'!R41</f>
        <v>0</v>
      </c>
      <c r="AF40" s="36">
        <f>'PLAN Zahlen'!S43</f>
        <v>-500</v>
      </c>
      <c r="AG40" s="7">
        <f>'IST Zahlen'!S41</f>
        <v>0</v>
      </c>
      <c r="AH40" s="36"/>
    </row>
    <row r="41" spans="2:34" x14ac:dyDescent="0.2">
      <c r="B41" s="49" t="str">
        <f>'PLAN Zahlen'!B44</f>
        <v>2.7.</v>
      </c>
      <c r="C41" s="5" t="str">
        <f>'PLAN Zahlen'!C44</f>
        <v>Rückzahlung Darlehen</v>
      </c>
      <c r="E41" s="88">
        <v>0</v>
      </c>
      <c r="F41" s="36">
        <f>'PLAN Zahlen'!F44</f>
        <v>0</v>
      </c>
      <c r="G41" s="7">
        <f>'IST Zahlen'!F42</f>
        <v>0</v>
      </c>
      <c r="H41" s="36">
        <f>'PLAN Zahlen'!G44</f>
        <v>0</v>
      </c>
      <c r="I41" s="7">
        <f>'IST Zahlen'!G42</f>
        <v>0</v>
      </c>
      <c r="J41" s="36">
        <f>'PLAN Zahlen'!H44</f>
        <v>0</v>
      </c>
      <c r="K41" s="7">
        <f>'IST Zahlen'!H42</f>
        <v>0</v>
      </c>
      <c r="L41" s="36">
        <f>'PLAN Zahlen'!I44</f>
        <v>0</v>
      </c>
      <c r="M41" s="7">
        <f>'IST Zahlen'!I42</f>
        <v>0</v>
      </c>
      <c r="N41" s="36">
        <f>'PLAN Zahlen'!J44</f>
        <v>0</v>
      </c>
      <c r="O41" s="7">
        <f>'IST Zahlen'!J42</f>
        <v>0</v>
      </c>
      <c r="P41" s="36">
        <f>'PLAN Zahlen'!K44</f>
        <v>-1000</v>
      </c>
      <c r="Q41" s="7">
        <f>'IST Zahlen'!K42</f>
        <v>0</v>
      </c>
      <c r="R41" s="36">
        <f>'PLAN Zahlen'!L44</f>
        <v>-1000</v>
      </c>
      <c r="S41" s="7">
        <f>'IST Zahlen'!L42</f>
        <v>0</v>
      </c>
      <c r="T41" s="36">
        <f>'PLAN Zahlen'!M44</f>
        <v>-1000</v>
      </c>
      <c r="U41" s="7">
        <f>'IST Zahlen'!M42</f>
        <v>0</v>
      </c>
      <c r="V41" s="36">
        <f>'PLAN Zahlen'!N44</f>
        <v>-1000</v>
      </c>
      <c r="W41" s="7">
        <f>'IST Zahlen'!N42</f>
        <v>0</v>
      </c>
      <c r="X41" s="36">
        <f>'PLAN Zahlen'!O44</f>
        <v>-1000</v>
      </c>
      <c r="Y41" s="7">
        <f>'IST Zahlen'!O42</f>
        <v>0</v>
      </c>
      <c r="Z41" s="36">
        <f>'PLAN Zahlen'!P44</f>
        <v>-1000</v>
      </c>
      <c r="AA41" s="7">
        <f>'IST Zahlen'!P42</f>
        <v>0</v>
      </c>
      <c r="AB41" s="36">
        <f>'PLAN Zahlen'!Q44</f>
        <v>-1000</v>
      </c>
      <c r="AC41" s="7">
        <f>'IST Zahlen'!Q42</f>
        <v>0</v>
      </c>
      <c r="AD41" s="36">
        <f>'PLAN Zahlen'!R44</f>
        <v>-1000</v>
      </c>
      <c r="AE41" s="7">
        <f>'IST Zahlen'!R42</f>
        <v>0</v>
      </c>
      <c r="AF41" s="36">
        <f>'PLAN Zahlen'!S44</f>
        <v>-1000</v>
      </c>
      <c r="AG41" s="7">
        <f>'IST Zahlen'!S42</f>
        <v>0</v>
      </c>
      <c r="AH41" s="36"/>
    </row>
    <row r="42" spans="2:34" x14ac:dyDescent="0.2">
      <c r="B42" s="49" t="str">
        <f>'PLAN Zahlen'!B45</f>
        <v>2.8.</v>
      </c>
      <c r="C42" s="5" t="str">
        <f>'PLAN Zahlen'!C45</f>
        <v>Versicherungen</v>
      </c>
      <c r="E42" s="88">
        <v>0</v>
      </c>
      <c r="F42" s="36">
        <f>'PLAN Zahlen'!F45</f>
        <v>-1663.6</v>
      </c>
      <c r="G42" s="7">
        <f>'IST Zahlen'!F43</f>
        <v>0</v>
      </c>
      <c r="H42" s="36">
        <f>'PLAN Zahlen'!G45</f>
        <v>-2500</v>
      </c>
      <c r="I42" s="7">
        <f>'IST Zahlen'!G43</f>
        <v>0</v>
      </c>
      <c r="J42" s="36">
        <f>'PLAN Zahlen'!H45</f>
        <v>-2500</v>
      </c>
      <c r="K42" s="7">
        <f>'IST Zahlen'!H43</f>
        <v>0</v>
      </c>
      <c r="L42" s="36">
        <f>'PLAN Zahlen'!I45</f>
        <v>-2500</v>
      </c>
      <c r="M42" s="7">
        <f>'IST Zahlen'!I43</f>
        <v>0</v>
      </c>
      <c r="N42" s="36">
        <f>'PLAN Zahlen'!J45</f>
        <v>-2500</v>
      </c>
      <c r="O42" s="7">
        <f>'IST Zahlen'!J43</f>
        <v>0</v>
      </c>
      <c r="P42" s="36">
        <f>'PLAN Zahlen'!K45</f>
        <v>-2500</v>
      </c>
      <c r="Q42" s="7">
        <f>'IST Zahlen'!K43</f>
        <v>0</v>
      </c>
      <c r="R42" s="36">
        <f>'PLAN Zahlen'!L45</f>
        <v>-2500</v>
      </c>
      <c r="S42" s="7">
        <f>'IST Zahlen'!L43</f>
        <v>0</v>
      </c>
      <c r="T42" s="36">
        <f>'PLAN Zahlen'!M45</f>
        <v>-2500</v>
      </c>
      <c r="U42" s="7" t="str">
        <f>'IST Zahlen'!M43</f>
        <v>-</v>
      </c>
      <c r="V42" s="36">
        <f>'PLAN Zahlen'!N45</f>
        <v>-2500</v>
      </c>
      <c r="W42" s="7">
        <f>'IST Zahlen'!N43</f>
        <v>0</v>
      </c>
      <c r="X42" s="36">
        <f>'PLAN Zahlen'!O45</f>
        <v>-2500</v>
      </c>
      <c r="Y42" s="7">
        <f>'IST Zahlen'!O43</f>
        <v>0</v>
      </c>
      <c r="Z42" s="36">
        <f>'PLAN Zahlen'!P45</f>
        <v>-2500</v>
      </c>
      <c r="AA42" s="7">
        <f>'IST Zahlen'!P43</f>
        <v>-2611.6299999999997</v>
      </c>
      <c r="AB42" s="36">
        <f>'PLAN Zahlen'!Q45</f>
        <v>-2500</v>
      </c>
      <c r="AC42" s="7">
        <f>'IST Zahlen'!Q43</f>
        <v>-41.65</v>
      </c>
      <c r="AD42" s="36">
        <f>'PLAN Zahlen'!R45</f>
        <v>-2500</v>
      </c>
      <c r="AE42" s="7">
        <f>'IST Zahlen'!R43</f>
        <v>-83.3</v>
      </c>
      <c r="AF42" s="36" t="e">
        <f>'PLAN Zahlen'!#REF!</f>
        <v>#REF!</v>
      </c>
      <c r="AG42" s="7">
        <f>'IST Zahlen'!S43</f>
        <v>-2594.2000000000003</v>
      </c>
      <c r="AH42" s="36"/>
    </row>
    <row r="43" spans="2:34" x14ac:dyDescent="0.2">
      <c r="B43" s="49" t="str">
        <f>'PLAN Zahlen'!B46</f>
        <v>2.9.</v>
      </c>
      <c r="C43" s="5" t="str">
        <f>'PLAN Zahlen'!C46</f>
        <v>Sonstige Dauerschuldverhältnisse</v>
      </c>
      <c r="E43" s="88">
        <v>0</v>
      </c>
      <c r="F43" s="36">
        <f>'PLAN Zahlen'!F46</f>
        <v>0</v>
      </c>
      <c r="G43" s="7">
        <f>'IST Zahlen'!F44</f>
        <v>0</v>
      </c>
      <c r="H43" s="36">
        <f>'PLAN Zahlen'!G46</f>
        <v>0</v>
      </c>
      <c r="I43" s="7">
        <f>'IST Zahlen'!G44</f>
        <v>0</v>
      </c>
      <c r="J43" s="36">
        <f>'PLAN Zahlen'!H46</f>
        <v>0</v>
      </c>
      <c r="K43" s="7">
        <f>'IST Zahlen'!H44</f>
        <v>0</v>
      </c>
      <c r="L43" s="36">
        <f>'PLAN Zahlen'!I46</f>
        <v>0</v>
      </c>
      <c r="M43" s="7">
        <f>'IST Zahlen'!I44</f>
        <v>0</v>
      </c>
      <c r="N43" s="36">
        <f>'PLAN Zahlen'!J46</f>
        <v>0</v>
      </c>
      <c r="O43" s="7">
        <f>'IST Zahlen'!J44</f>
        <v>0</v>
      </c>
      <c r="P43" s="36">
        <f>'PLAN Zahlen'!K46</f>
        <v>0</v>
      </c>
      <c r="Q43" s="7">
        <f>'IST Zahlen'!K44</f>
        <v>0</v>
      </c>
      <c r="R43" s="36">
        <f>'PLAN Zahlen'!L46</f>
        <v>0</v>
      </c>
      <c r="S43" s="7">
        <f>'IST Zahlen'!L44</f>
        <v>0</v>
      </c>
      <c r="T43" s="36">
        <f>'PLAN Zahlen'!M46</f>
        <v>0</v>
      </c>
      <c r="U43" s="7">
        <f>'IST Zahlen'!M44</f>
        <v>0</v>
      </c>
      <c r="V43" s="36">
        <f>'PLAN Zahlen'!N46</f>
        <v>0</v>
      </c>
      <c r="W43" s="7">
        <f>'IST Zahlen'!N44</f>
        <v>0</v>
      </c>
      <c r="X43" s="36">
        <f>'PLAN Zahlen'!O46</f>
        <v>0</v>
      </c>
      <c r="Y43" s="7">
        <f>'IST Zahlen'!O44</f>
        <v>0</v>
      </c>
      <c r="Z43" s="36">
        <f>'PLAN Zahlen'!P46</f>
        <v>0</v>
      </c>
      <c r="AA43" s="7">
        <f>'IST Zahlen'!P44</f>
        <v>-1011</v>
      </c>
      <c r="AB43" s="36">
        <f>'PLAN Zahlen'!Q46</f>
        <v>0</v>
      </c>
      <c r="AC43" s="7">
        <f>'IST Zahlen'!Q44</f>
        <v>0</v>
      </c>
      <c r="AD43" s="36">
        <f>'PLAN Zahlen'!R46</f>
        <v>0</v>
      </c>
      <c r="AE43" s="7">
        <f>'IST Zahlen'!R44</f>
        <v>0</v>
      </c>
      <c r="AF43" s="36">
        <f>'PLAN Zahlen'!S45</f>
        <v>-2500</v>
      </c>
      <c r="AG43" s="7">
        <f>'IST Zahlen'!S44</f>
        <v>0</v>
      </c>
      <c r="AH43" s="36"/>
    </row>
    <row r="44" spans="2:34" x14ac:dyDescent="0.2">
      <c r="B44" s="49" t="str">
        <f>'PLAN Zahlen'!B47</f>
        <v>2.10.</v>
      </c>
      <c r="C44" s="5" t="str">
        <f>'PLAN Zahlen'!C47</f>
        <v>Beratungskosten</v>
      </c>
      <c r="E44" s="88">
        <v>0</v>
      </c>
      <c r="F44" s="36">
        <f>'PLAN Zahlen'!F47</f>
        <v>-700</v>
      </c>
      <c r="G44" s="7">
        <f>'IST Zahlen'!F45</f>
        <v>0</v>
      </c>
      <c r="H44" s="36">
        <f>'PLAN Zahlen'!G47</f>
        <v>-700</v>
      </c>
      <c r="I44" s="7">
        <f>'IST Zahlen'!G45</f>
        <v>0</v>
      </c>
      <c r="J44" s="36">
        <f>'PLAN Zahlen'!H47</f>
        <v>-700</v>
      </c>
      <c r="K44" s="7">
        <f>'IST Zahlen'!H45</f>
        <v>0</v>
      </c>
      <c r="L44" s="36">
        <f>'PLAN Zahlen'!I47</f>
        <v>-700</v>
      </c>
      <c r="M44" s="7">
        <f>'IST Zahlen'!I45</f>
        <v>0</v>
      </c>
      <c r="N44" s="36">
        <f>'PLAN Zahlen'!J47</f>
        <v>-700</v>
      </c>
      <c r="O44" s="7">
        <f>'IST Zahlen'!J45</f>
        <v>0</v>
      </c>
      <c r="P44" s="36">
        <f>'PLAN Zahlen'!K47</f>
        <v>-700</v>
      </c>
      <c r="Q44" s="7">
        <f>'IST Zahlen'!K45</f>
        <v>0</v>
      </c>
      <c r="R44" s="36">
        <f>'PLAN Zahlen'!L47</f>
        <v>-700</v>
      </c>
      <c r="S44" s="7">
        <f>'IST Zahlen'!L45</f>
        <v>0</v>
      </c>
      <c r="T44" s="36">
        <f>'PLAN Zahlen'!M47</f>
        <v>-700</v>
      </c>
      <c r="U44" s="7">
        <f>'IST Zahlen'!M45</f>
        <v>-2380</v>
      </c>
      <c r="V44" s="36">
        <f>'PLAN Zahlen'!N47</f>
        <v>-700</v>
      </c>
      <c r="W44" s="7">
        <f>'IST Zahlen'!N45</f>
        <v>0</v>
      </c>
      <c r="X44" s="36">
        <f>'PLAN Zahlen'!O47</f>
        <v>-700</v>
      </c>
      <c r="Y44" s="7">
        <f>'IST Zahlen'!O45</f>
        <v>0</v>
      </c>
      <c r="Z44" s="36">
        <f>'PLAN Zahlen'!P47</f>
        <v>-700</v>
      </c>
      <c r="AA44" s="7">
        <f>'IST Zahlen'!P45</f>
        <v>0</v>
      </c>
      <c r="AB44" s="36">
        <f>'PLAN Zahlen'!Q47</f>
        <v>-700</v>
      </c>
      <c r="AC44" s="7">
        <f>'IST Zahlen'!Q45</f>
        <v>0</v>
      </c>
      <c r="AD44" s="36">
        <f>'PLAN Zahlen'!R47</f>
        <v>-700</v>
      </c>
      <c r="AE44" s="7">
        <f>'IST Zahlen'!R45</f>
        <v>0</v>
      </c>
      <c r="AF44" s="36">
        <f>'PLAN Zahlen'!S47</f>
        <v>-700</v>
      </c>
      <c r="AG44" s="7">
        <f>'IST Zahlen'!S45</f>
        <v>-1401</v>
      </c>
      <c r="AH44" s="36"/>
    </row>
    <row r="45" spans="2:34" x14ac:dyDescent="0.2">
      <c r="B45" s="49" t="str">
        <f>'PLAN Zahlen'!B48</f>
        <v>2.11.</v>
      </c>
      <c r="C45" s="5" t="str">
        <f>'PLAN Zahlen'!C48</f>
        <v>Reparaturen Kfz</v>
      </c>
      <c r="E45" s="88">
        <v>0</v>
      </c>
      <c r="F45" s="36">
        <f>'PLAN Zahlen'!F48</f>
        <v>-250</v>
      </c>
      <c r="G45" s="7">
        <f>'IST Zahlen'!F46</f>
        <v>0</v>
      </c>
      <c r="H45" s="36">
        <f>'PLAN Zahlen'!G48</f>
        <v>-250</v>
      </c>
      <c r="I45" s="7">
        <f>'IST Zahlen'!G46</f>
        <v>0</v>
      </c>
      <c r="J45" s="36">
        <f>'PLAN Zahlen'!H48</f>
        <v>-250</v>
      </c>
      <c r="K45" s="7">
        <f>'IST Zahlen'!H46</f>
        <v>0</v>
      </c>
      <c r="L45" s="36">
        <f>'PLAN Zahlen'!I48</f>
        <v>-250</v>
      </c>
      <c r="M45" s="7">
        <f>'IST Zahlen'!I46</f>
        <v>0</v>
      </c>
      <c r="N45" s="36">
        <f>'PLAN Zahlen'!J48</f>
        <v>-250</v>
      </c>
      <c r="O45" s="7">
        <f>'IST Zahlen'!J46</f>
        <v>0</v>
      </c>
      <c r="P45" s="36">
        <f>'PLAN Zahlen'!K48</f>
        <v>-700</v>
      </c>
      <c r="Q45" s="7">
        <f>'IST Zahlen'!K46</f>
        <v>0</v>
      </c>
      <c r="R45" s="36">
        <f>'PLAN Zahlen'!L48</f>
        <v>-700</v>
      </c>
      <c r="S45" s="7">
        <f>'IST Zahlen'!L46</f>
        <v>0</v>
      </c>
      <c r="T45" s="36">
        <f>'PLAN Zahlen'!M48</f>
        <v>-700</v>
      </c>
      <c r="U45" s="7">
        <f>'IST Zahlen'!M46</f>
        <v>0</v>
      </c>
      <c r="V45" s="36">
        <f>'PLAN Zahlen'!N48</f>
        <v>-700</v>
      </c>
      <c r="W45" s="7">
        <f>'IST Zahlen'!N46</f>
        <v>0</v>
      </c>
      <c r="X45" s="36">
        <f>'PLAN Zahlen'!O48</f>
        <v>-700</v>
      </c>
      <c r="Y45" s="7">
        <f>'IST Zahlen'!O46</f>
        <v>0</v>
      </c>
      <c r="Z45" s="36">
        <f>'PLAN Zahlen'!P48</f>
        <v>-700</v>
      </c>
      <c r="AA45" s="7">
        <f>'IST Zahlen'!P46</f>
        <v>0</v>
      </c>
      <c r="AB45" s="36">
        <f>'PLAN Zahlen'!Q48</f>
        <v>-700</v>
      </c>
      <c r="AC45" s="7">
        <f>'IST Zahlen'!Q46</f>
        <v>0</v>
      </c>
      <c r="AD45" s="36">
        <f>'PLAN Zahlen'!R48</f>
        <v>-700</v>
      </c>
      <c r="AE45" s="7">
        <f>'IST Zahlen'!R46</f>
        <v>0</v>
      </c>
      <c r="AF45" s="36">
        <f>'PLAN Zahlen'!S48</f>
        <v>-700</v>
      </c>
      <c r="AG45" s="7">
        <f>'IST Zahlen'!S46</f>
        <v>0</v>
      </c>
      <c r="AH45" s="36"/>
    </row>
    <row r="46" spans="2:34" x14ac:dyDescent="0.2">
      <c r="B46" s="49" t="str">
        <f>'PLAN Zahlen'!B49</f>
        <v>2.12.</v>
      </c>
      <c r="C46" s="5" t="str">
        <f>'PLAN Zahlen'!C49</f>
        <v>Zinsen/Gebühren (z.B. InsoGeld)</v>
      </c>
      <c r="E46" s="88">
        <v>0</v>
      </c>
      <c r="F46" s="36">
        <f>'PLAN Zahlen'!F49</f>
        <v>-300</v>
      </c>
      <c r="G46" s="7">
        <f>'IST Zahlen'!F47</f>
        <v>0</v>
      </c>
      <c r="H46" s="36">
        <f>'PLAN Zahlen'!G49</f>
        <v>-300</v>
      </c>
      <c r="I46" s="7">
        <f>'IST Zahlen'!G47</f>
        <v>0</v>
      </c>
      <c r="J46" s="36">
        <f>'PLAN Zahlen'!H49</f>
        <v>-300</v>
      </c>
      <c r="K46" s="7">
        <f>'IST Zahlen'!H47</f>
        <v>0</v>
      </c>
      <c r="L46" s="36">
        <f>'PLAN Zahlen'!I49</f>
        <v>-300</v>
      </c>
      <c r="M46" s="7">
        <f>'IST Zahlen'!I47</f>
        <v>0</v>
      </c>
      <c r="N46" s="36">
        <f>'PLAN Zahlen'!J49</f>
        <v>-300</v>
      </c>
      <c r="O46" s="7">
        <f>'IST Zahlen'!J47</f>
        <v>0</v>
      </c>
      <c r="P46" s="36">
        <f>'PLAN Zahlen'!K49</f>
        <v>-300</v>
      </c>
      <c r="Q46" s="7">
        <f>'IST Zahlen'!K47</f>
        <v>0</v>
      </c>
      <c r="R46" s="36">
        <f>'PLAN Zahlen'!L49</f>
        <v>-300</v>
      </c>
      <c r="S46" s="7">
        <f>'IST Zahlen'!L47</f>
        <v>0</v>
      </c>
      <c r="T46" s="36">
        <f>'PLAN Zahlen'!M49</f>
        <v>-300</v>
      </c>
      <c r="U46" s="7">
        <f>'IST Zahlen'!M47</f>
        <v>0</v>
      </c>
      <c r="V46" s="36">
        <f>'PLAN Zahlen'!N49</f>
        <v>-300</v>
      </c>
      <c r="W46" s="7">
        <f>'IST Zahlen'!N47</f>
        <v>0</v>
      </c>
      <c r="X46" s="36">
        <f>'PLAN Zahlen'!O49</f>
        <v>-300</v>
      </c>
      <c r="Y46" s="7">
        <f>'IST Zahlen'!O47</f>
        <v>0</v>
      </c>
      <c r="Z46" s="36">
        <f>'PLAN Zahlen'!P49</f>
        <v>-300</v>
      </c>
      <c r="AA46" s="7">
        <f>'IST Zahlen'!P47</f>
        <v>0</v>
      </c>
      <c r="AB46" s="36">
        <f>'PLAN Zahlen'!Q49</f>
        <v>-300</v>
      </c>
      <c r="AC46" s="7">
        <f>'IST Zahlen'!Q47</f>
        <v>0</v>
      </c>
      <c r="AD46" s="36">
        <f>'PLAN Zahlen'!R49</f>
        <v>-300</v>
      </c>
      <c r="AE46" s="7">
        <f>'IST Zahlen'!R47</f>
        <v>0</v>
      </c>
      <c r="AF46" s="36">
        <f>'PLAN Zahlen'!S49</f>
        <v>-300</v>
      </c>
      <c r="AG46" s="7">
        <f>'IST Zahlen'!S50</f>
        <v>0</v>
      </c>
      <c r="AH46" s="36"/>
    </row>
    <row r="47" spans="2:34" x14ac:dyDescent="0.2">
      <c r="B47" s="49" t="str">
        <f>'PLAN Zahlen'!B50</f>
        <v>2.13.</v>
      </c>
      <c r="C47" s="5" t="str">
        <f>'PLAN Zahlen'!C50</f>
        <v>Privatentnahmen</v>
      </c>
      <c r="E47" s="88">
        <v>0</v>
      </c>
      <c r="F47" s="36">
        <f>'PLAN Zahlen'!F50</f>
        <v>-2000</v>
      </c>
      <c r="G47" s="7">
        <f>'IST Zahlen'!F48</f>
        <v>0</v>
      </c>
      <c r="H47" s="36">
        <f>'PLAN Zahlen'!G50</f>
        <v>-2000</v>
      </c>
      <c r="I47" s="7">
        <f>'IST Zahlen'!G48</f>
        <v>0</v>
      </c>
      <c r="J47" s="36">
        <f>'PLAN Zahlen'!H50</f>
        <v>-2000</v>
      </c>
      <c r="K47" s="7">
        <f>'IST Zahlen'!H48</f>
        <v>0</v>
      </c>
      <c r="L47" s="36">
        <f>'PLAN Zahlen'!I50</f>
        <v>-2000</v>
      </c>
      <c r="M47" s="7">
        <f>'IST Zahlen'!I48</f>
        <v>0</v>
      </c>
      <c r="N47" s="36">
        <f>'PLAN Zahlen'!J50</f>
        <v>-2000</v>
      </c>
      <c r="O47" s="7">
        <f>'IST Zahlen'!J48</f>
        <v>0</v>
      </c>
      <c r="P47" s="36">
        <f>'PLAN Zahlen'!K50</f>
        <v>-2000</v>
      </c>
      <c r="Q47" s="7">
        <f>'IST Zahlen'!K48</f>
        <v>0</v>
      </c>
      <c r="R47" s="36">
        <f>'PLAN Zahlen'!L50</f>
        <v>-2000</v>
      </c>
      <c r="S47" s="7">
        <f>'IST Zahlen'!L48</f>
        <v>0</v>
      </c>
      <c r="T47" s="36">
        <f>'PLAN Zahlen'!M50</f>
        <v>-2000</v>
      </c>
      <c r="U47" s="7">
        <f>'IST Zahlen'!M48</f>
        <v>0</v>
      </c>
      <c r="V47" s="36">
        <f>'PLAN Zahlen'!N50</f>
        <v>-2000</v>
      </c>
      <c r="W47" s="7">
        <f>'IST Zahlen'!N48</f>
        <v>-1000</v>
      </c>
      <c r="X47" s="36">
        <f>'PLAN Zahlen'!O50</f>
        <v>-2000</v>
      </c>
      <c r="Y47" s="7">
        <f>'IST Zahlen'!O48</f>
        <v>-1000</v>
      </c>
      <c r="Z47" s="36">
        <f>'PLAN Zahlen'!P50</f>
        <v>-2000</v>
      </c>
      <c r="AA47" s="7">
        <f>'IST Zahlen'!P48</f>
        <v>-2484</v>
      </c>
      <c r="AB47" s="36">
        <f>'PLAN Zahlen'!Q50</f>
        <v>-2000</v>
      </c>
      <c r="AC47" s="7">
        <f>'IST Zahlen'!Q48</f>
        <v>0</v>
      </c>
      <c r="AD47" s="36">
        <f>'PLAN Zahlen'!R50</f>
        <v>-2000</v>
      </c>
      <c r="AE47" s="7">
        <f>'IST Zahlen'!R48</f>
        <v>-4650</v>
      </c>
      <c r="AF47" s="36"/>
      <c r="AG47" s="7"/>
      <c r="AH47" s="36"/>
    </row>
    <row r="48" spans="2:34" x14ac:dyDescent="0.2">
      <c r="B48" s="49" t="str">
        <f>'PLAN Zahlen'!B51</f>
        <v>2.14.</v>
      </c>
      <c r="C48" s="5" t="str">
        <f>'PLAN Zahlen'!C51</f>
        <v>Sonstiger Betriebsbedarf</v>
      </c>
      <c r="E48" s="88">
        <v>0</v>
      </c>
      <c r="F48" s="36" t="e">
        <f>'PLAN Zahlen'!#REF!</f>
        <v>#REF!</v>
      </c>
      <c r="G48" s="7">
        <f>'IST Zahlen'!F49</f>
        <v>0</v>
      </c>
      <c r="H48" s="36">
        <f>'PLAN Zahlen'!G51</f>
        <v>-1000</v>
      </c>
      <c r="I48" s="7">
        <f>'IST Zahlen'!G49</f>
        <v>0</v>
      </c>
      <c r="J48" s="36">
        <f>'PLAN Zahlen'!H51</f>
        <v>-1000</v>
      </c>
      <c r="K48" s="7">
        <f>'IST Zahlen'!H49</f>
        <v>0</v>
      </c>
      <c r="L48" s="36">
        <f>'PLAN Zahlen'!I51</f>
        <v>-1000</v>
      </c>
      <c r="M48" s="7">
        <f>'IST Zahlen'!I49</f>
        <v>0</v>
      </c>
      <c r="N48" s="36">
        <f>'PLAN Zahlen'!J51</f>
        <v>-1000</v>
      </c>
      <c r="O48" s="7">
        <f>'IST Zahlen'!J49</f>
        <v>0</v>
      </c>
      <c r="P48" s="36">
        <f>'PLAN Zahlen'!K51</f>
        <v>-1000</v>
      </c>
      <c r="Q48" s="7">
        <f>'IST Zahlen'!K49</f>
        <v>0</v>
      </c>
      <c r="R48" s="36">
        <f>'PLAN Zahlen'!F51</f>
        <v>-1000</v>
      </c>
      <c r="S48" s="7">
        <f>'IST Zahlen'!L49</f>
        <v>0</v>
      </c>
      <c r="T48" s="36">
        <f>'PLAN Zahlen'!M51</f>
        <v>-1000</v>
      </c>
      <c r="U48" s="7">
        <f>'IST Zahlen'!M49</f>
        <v>0</v>
      </c>
      <c r="V48" s="36">
        <f>'PLAN Zahlen'!N51</f>
        <v>-1000</v>
      </c>
      <c r="W48" s="7">
        <f>'IST Zahlen'!N49</f>
        <v>-988</v>
      </c>
      <c r="X48" s="36">
        <f>'PLAN Zahlen'!O51</f>
        <v>-1000</v>
      </c>
      <c r="Y48" s="7">
        <f>'IST Zahlen'!O49</f>
        <v>-1233</v>
      </c>
      <c r="Z48" s="36">
        <f>'PLAN Zahlen'!P51</f>
        <v>-1000</v>
      </c>
      <c r="AA48" s="7">
        <f>'IST Zahlen'!P49</f>
        <v>-861</v>
      </c>
      <c r="AB48" s="36">
        <f>'PLAN Zahlen'!Q51</f>
        <v>-1000</v>
      </c>
      <c r="AC48" s="7">
        <f>'IST Zahlen'!Q49</f>
        <v>-449</v>
      </c>
      <c r="AD48" s="36">
        <f>'PLAN Zahlen'!R51</f>
        <v>-1000</v>
      </c>
      <c r="AE48" s="7">
        <f>'IST Zahlen'!R49</f>
        <v>-2163</v>
      </c>
      <c r="AF48" s="36"/>
      <c r="AG48" s="7"/>
      <c r="AH48" s="36"/>
    </row>
    <row r="49" spans="2:34" x14ac:dyDescent="0.2">
      <c r="B49" s="49">
        <f>'PLAN Zahlen'!B52</f>
        <v>0</v>
      </c>
      <c r="C49" s="5">
        <f>'PLAN Zahlen'!C52</f>
        <v>0</v>
      </c>
      <c r="E49" s="88">
        <v>0</v>
      </c>
      <c r="F49" s="36">
        <f>'PLAN Zahlen'!F52</f>
        <v>0</v>
      </c>
      <c r="G49" s="7">
        <f>'IST Zahlen'!F50</f>
        <v>0</v>
      </c>
      <c r="H49" s="36">
        <f>'PLAN Zahlen'!G52</f>
        <v>0</v>
      </c>
      <c r="I49" s="7">
        <f>'IST Zahlen'!G50</f>
        <v>0</v>
      </c>
      <c r="J49" s="36">
        <f>'PLAN Zahlen'!H52</f>
        <v>0</v>
      </c>
      <c r="K49" s="7">
        <f>'IST Zahlen'!H50</f>
        <v>0</v>
      </c>
      <c r="L49" s="36">
        <f>'PLAN Zahlen'!I52</f>
        <v>0</v>
      </c>
      <c r="M49" s="7">
        <f>'IST Zahlen'!I50</f>
        <v>0</v>
      </c>
      <c r="N49" s="36">
        <f>'PLAN Zahlen'!J52</f>
        <v>0</v>
      </c>
      <c r="O49" s="7">
        <f>'IST Zahlen'!J50</f>
        <v>0</v>
      </c>
      <c r="P49" s="36">
        <f>'PLAN Zahlen'!K52</f>
        <v>0</v>
      </c>
      <c r="Q49" s="7">
        <f>'IST Zahlen'!K50</f>
        <v>0</v>
      </c>
      <c r="R49" s="36">
        <f>'PLAN Zahlen'!L52</f>
        <v>0</v>
      </c>
      <c r="S49" s="7">
        <f>'IST Zahlen'!L50</f>
        <v>0</v>
      </c>
      <c r="T49" s="36">
        <f>'PLAN Zahlen'!M52</f>
        <v>0</v>
      </c>
      <c r="U49" s="7">
        <f>'IST Zahlen'!M50</f>
        <v>0</v>
      </c>
      <c r="V49" s="36">
        <f>'PLAN Zahlen'!N52</f>
        <v>0</v>
      </c>
      <c r="W49" s="7">
        <f>'IST Zahlen'!N50</f>
        <v>0</v>
      </c>
      <c r="X49" s="36">
        <f>'PLAN Zahlen'!O52</f>
        <v>0</v>
      </c>
      <c r="Y49" s="7">
        <f>'IST Zahlen'!O50</f>
        <v>-6247</v>
      </c>
      <c r="Z49" s="36">
        <f>'PLAN Zahlen'!P52</f>
        <v>0</v>
      </c>
      <c r="AA49" s="7">
        <f>'IST Zahlen'!P50</f>
        <v>0</v>
      </c>
      <c r="AB49" s="36">
        <f>'PLAN Zahlen'!Q52</f>
        <v>0</v>
      </c>
      <c r="AC49" s="7">
        <f>'IST Zahlen'!Q50</f>
        <v>0</v>
      </c>
      <c r="AD49" s="36">
        <f>'PLAN Zahlen'!R52</f>
        <v>0</v>
      </c>
      <c r="AE49" s="7">
        <f>'IST Zahlen'!R50</f>
        <v>-13000</v>
      </c>
      <c r="AF49" s="36"/>
      <c r="AG49" s="7"/>
      <c r="AH49" s="36"/>
    </row>
    <row r="50" spans="2:34" x14ac:dyDescent="0.2">
      <c r="B50" s="49">
        <f>'PLAN Zahlen'!B53</f>
        <v>0</v>
      </c>
      <c r="C50" s="5">
        <f>'PLAN Zahlen'!C53</f>
        <v>0</v>
      </c>
      <c r="E50" s="88">
        <v>0</v>
      </c>
      <c r="F50" s="36">
        <f>'PLAN Zahlen'!F53</f>
        <v>0</v>
      </c>
      <c r="G50" s="7">
        <f>'IST Zahlen'!F51</f>
        <v>0</v>
      </c>
      <c r="H50" s="36">
        <f>'PLAN Zahlen'!G53</f>
        <v>0</v>
      </c>
      <c r="I50" s="7">
        <f>'IST Zahlen'!G51</f>
        <v>0</v>
      </c>
      <c r="J50" s="36">
        <f>'PLAN Zahlen'!H53</f>
        <v>0</v>
      </c>
      <c r="K50" s="7">
        <f>'IST Zahlen'!H51</f>
        <v>0</v>
      </c>
      <c r="L50" s="36">
        <f>'PLAN Zahlen'!I53</f>
        <v>0</v>
      </c>
      <c r="M50" s="7">
        <f>'IST Zahlen'!I51</f>
        <v>0</v>
      </c>
      <c r="N50" s="36">
        <f>'PLAN Zahlen'!J53</f>
        <v>0</v>
      </c>
      <c r="O50" s="7">
        <f>'IST Zahlen'!J51</f>
        <v>0</v>
      </c>
      <c r="P50" s="36">
        <f>'PLAN Zahlen'!K53</f>
        <v>0</v>
      </c>
      <c r="Q50" s="7">
        <f>'IST Zahlen'!K51</f>
        <v>0</v>
      </c>
      <c r="R50" s="36">
        <f>'PLAN Zahlen'!L53</f>
        <v>0</v>
      </c>
      <c r="S50" s="7">
        <f>'IST Zahlen'!L51</f>
        <v>0</v>
      </c>
      <c r="T50" s="36">
        <f>'PLAN Zahlen'!M53</f>
        <v>0</v>
      </c>
      <c r="U50" s="7">
        <f>'IST Zahlen'!M51</f>
        <v>0</v>
      </c>
      <c r="V50" s="36">
        <f>'PLAN Zahlen'!N53</f>
        <v>0</v>
      </c>
      <c r="W50" s="7">
        <f>'IST Zahlen'!N51</f>
        <v>0</v>
      </c>
      <c r="X50" s="36">
        <f>'PLAN Zahlen'!O53</f>
        <v>0</v>
      </c>
      <c r="Y50" s="7">
        <f>'IST Zahlen'!O51</f>
        <v>0</v>
      </c>
      <c r="Z50" s="36">
        <f>'PLAN Zahlen'!P53</f>
        <v>0</v>
      </c>
      <c r="AA50" s="7">
        <f>'IST Zahlen'!P51</f>
        <v>0</v>
      </c>
      <c r="AB50" s="36">
        <f>'PLAN Zahlen'!Q53</f>
        <v>0</v>
      </c>
      <c r="AC50" s="7">
        <f>'IST Zahlen'!Q51</f>
        <v>0</v>
      </c>
      <c r="AD50" s="36">
        <f>'PLAN Zahlen'!R53</f>
        <v>0</v>
      </c>
      <c r="AE50" s="7">
        <f>'IST Zahlen'!R51</f>
        <v>0</v>
      </c>
      <c r="AF50" s="36">
        <f>'PLAN Zahlen'!S53</f>
        <v>0</v>
      </c>
      <c r="AG50" s="7">
        <f>'IST Zahlen'!S51</f>
        <v>0</v>
      </c>
      <c r="AH50" s="36"/>
    </row>
    <row r="51" spans="2:34" x14ac:dyDescent="0.2">
      <c r="B51" s="49">
        <f>'PLAN Zahlen'!B54</f>
        <v>0</v>
      </c>
      <c r="C51" s="5">
        <f>'PLAN Zahlen'!C54</f>
        <v>0</v>
      </c>
      <c r="E51" s="88">
        <v>0</v>
      </c>
      <c r="F51" s="36">
        <f>'PLAN Zahlen'!F54</f>
        <v>0</v>
      </c>
      <c r="G51" s="7">
        <f>'IST Zahlen'!F52</f>
        <v>0</v>
      </c>
      <c r="H51" s="36">
        <f>'PLAN Zahlen'!G54</f>
        <v>0</v>
      </c>
      <c r="I51" s="7">
        <f>'IST Zahlen'!G52</f>
        <v>0</v>
      </c>
      <c r="J51" s="36">
        <f>'PLAN Zahlen'!H54</f>
        <v>0</v>
      </c>
      <c r="K51" s="7">
        <f>'IST Zahlen'!H52</f>
        <v>0</v>
      </c>
      <c r="L51" s="36">
        <f>'PLAN Zahlen'!I54</f>
        <v>0</v>
      </c>
      <c r="M51" s="7">
        <f>'IST Zahlen'!I52</f>
        <v>0</v>
      </c>
      <c r="N51" s="36">
        <f>'PLAN Zahlen'!J54</f>
        <v>0</v>
      </c>
      <c r="O51" s="7">
        <f>'IST Zahlen'!J52</f>
        <v>0</v>
      </c>
      <c r="P51" s="36">
        <f>'PLAN Zahlen'!K54</f>
        <v>0</v>
      </c>
      <c r="Q51" s="7">
        <f>'IST Zahlen'!K52</f>
        <v>0</v>
      </c>
      <c r="R51" s="36">
        <f>'PLAN Zahlen'!L54</f>
        <v>0</v>
      </c>
      <c r="S51" s="7">
        <f>'IST Zahlen'!L52</f>
        <v>0</v>
      </c>
      <c r="T51" s="36">
        <f>'PLAN Zahlen'!M54</f>
        <v>0</v>
      </c>
      <c r="U51" s="7">
        <f>'IST Zahlen'!M52</f>
        <v>0</v>
      </c>
      <c r="V51" s="36">
        <f>'PLAN Zahlen'!N54</f>
        <v>0</v>
      </c>
      <c r="W51" s="7">
        <f>'IST Zahlen'!N52</f>
        <v>0</v>
      </c>
      <c r="X51" s="36">
        <f>'PLAN Zahlen'!O54</f>
        <v>0</v>
      </c>
      <c r="Y51" s="7">
        <f>'IST Zahlen'!O52</f>
        <v>0</v>
      </c>
      <c r="Z51" s="36">
        <f>'PLAN Zahlen'!P54</f>
        <v>0</v>
      </c>
      <c r="AA51" s="7">
        <f>'IST Zahlen'!P52</f>
        <v>0</v>
      </c>
      <c r="AB51" s="36">
        <f>'PLAN Zahlen'!Q54</f>
        <v>0</v>
      </c>
      <c r="AC51" s="7">
        <f>'IST Zahlen'!Q52</f>
        <v>0</v>
      </c>
      <c r="AD51" s="36">
        <f>'PLAN Zahlen'!R54</f>
        <v>0</v>
      </c>
      <c r="AE51" s="7">
        <f>'IST Zahlen'!R52</f>
        <v>0</v>
      </c>
      <c r="AF51" s="36">
        <f>'PLAN Zahlen'!S54</f>
        <v>0</v>
      </c>
      <c r="AG51" s="7">
        <f>'IST Zahlen'!S52</f>
        <v>0</v>
      </c>
      <c r="AH51" s="36"/>
    </row>
    <row r="52" spans="2:34" x14ac:dyDescent="0.2">
      <c r="B52" s="49"/>
      <c r="E52" s="88"/>
      <c r="F52" s="36">
        <f>'PLAN Zahlen'!F55</f>
        <v>0</v>
      </c>
      <c r="G52" s="7">
        <f>'IST Zahlen'!F53</f>
        <v>0</v>
      </c>
      <c r="H52" s="36">
        <f>'PLAN Zahlen'!G55</f>
        <v>0</v>
      </c>
      <c r="I52" s="7">
        <f>'IST Zahlen'!G53</f>
        <v>0</v>
      </c>
      <c r="J52" s="36">
        <f>'PLAN Zahlen'!H55</f>
        <v>0</v>
      </c>
      <c r="K52" s="7">
        <f>'IST Zahlen'!H53</f>
        <v>0</v>
      </c>
      <c r="L52" s="36">
        <f>'PLAN Zahlen'!I55</f>
        <v>0</v>
      </c>
      <c r="M52" s="7">
        <f>'IST Zahlen'!I53</f>
        <v>0</v>
      </c>
      <c r="N52" s="36">
        <f>'PLAN Zahlen'!J55</f>
        <v>0</v>
      </c>
      <c r="O52" s="7">
        <f>'IST Zahlen'!J53</f>
        <v>0</v>
      </c>
      <c r="P52" s="36">
        <f>'PLAN Zahlen'!K55</f>
        <v>0</v>
      </c>
      <c r="Q52" s="7">
        <f>'IST Zahlen'!K53</f>
        <v>0</v>
      </c>
      <c r="R52" s="36">
        <f>'PLAN Zahlen'!L55</f>
        <v>0</v>
      </c>
      <c r="S52" s="7">
        <f>'IST Zahlen'!L53</f>
        <v>0</v>
      </c>
      <c r="T52" s="36">
        <f>'PLAN Zahlen'!M55</f>
        <v>0</v>
      </c>
      <c r="U52" s="7">
        <f>'IST Zahlen'!M53</f>
        <v>0</v>
      </c>
      <c r="V52" s="36">
        <f>'PLAN Zahlen'!N55</f>
        <v>0</v>
      </c>
      <c r="W52" s="7">
        <f>'IST Zahlen'!N53</f>
        <v>0</v>
      </c>
      <c r="X52" s="36">
        <f>'PLAN Zahlen'!O55</f>
        <v>0</v>
      </c>
      <c r="Y52" s="7">
        <f>'IST Zahlen'!O53</f>
        <v>0</v>
      </c>
      <c r="Z52" s="36">
        <f>'PLAN Zahlen'!P55</f>
        <v>0</v>
      </c>
      <c r="AA52" s="7">
        <f>'IST Zahlen'!P53</f>
        <v>0</v>
      </c>
      <c r="AB52" s="36">
        <f>'PLAN Zahlen'!Q55</f>
        <v>0</v>
      </c>
      <c r="AC52" s="7">
        <f>'IST Zahlen'!Q53</f>
        <v>0</v>
      </c>
      <c r="AD52" s="36">
        <f>'PLAN Zahlen'!R55</f>
        <v>0</v>
      </c>
      <c r="AE52" s="7">
        <f>'IST Zahlen'!R53</f>
        <v>0</v>
      </c>
      <c r="AF52" s="36">
        <f>'PLAN Zahlen'!S55</f>
        <v>0</v>
      </c>
      <c r="AG52" s="7">
        <f>'IST Zahlen'!S53</f>
        <v>0</v>
      </c>
      <c r="AH52" s="36"/>
    </row>
    <row r="53" spans="2:34" ht="12.75" thickBot="1" x14ac:dyDescent="0.25">
      <c r="B53" s="49"/>
      <c r="C53" s="23" t="s">
        <v>14</v>
      </c>
      <c r="D53" s="23"/>
      <c r="E53" s="89"/>
      <c r="F53" s="39">
        <f>'PLAN Zahlen'!F56</f>
        <v>-22795.919999999998</v>
      </c>
      <c r="G53" s="64">
        <f>'IST Zahlen'!F54</f>
        <v>0</v>
      </c>
      <c r="H53" s="39">
        <f>'PLAN Zahlen'!G56</f>
        <v>-23393</v>
      </c>
      <c r="I53" s="64">
        <f>'IST Zahlen'!G54</f>
        <v>0</v>
      </c>
      <c r="J53" s="39">
        <f>'PLAN Zahlen'!H56</f>
        <v>-29659</v>
      </c>
      <c r="K53" s="64">
        <f>'IST Zahlen'!H54</f>
        <v>0</v>
      </c>
      <c r="L53" s="39">
        <f>'PLAN Zahlen'!I56</f>
        <v>-29659</v>
      </c>
      <c r="M53" s="64">
        <f>'IST Zahlen'!I54</f>
        <v>0</v>
      </c>
      <c r="N53" s="39">
        <f>'PLAN Zahlen'!J56</f>
        <v>-29659</v>
      </c>
      <c r="O53" s="64">
        <f>'IST Zahlen'!J54</f>
        <v>0</v>
      </c>
      <c r="P53" s="39">
        <f>'PLAN Zahlen'!K56</f>
        <v>-31109</v>
      </c>
      <c r="Q53" s="64">
        <f>'IST Zahlen'!K54</f>
        <v>0</v>
      </c>
      <c r="R53" s="39">
        <f>'PLAN Zahlen'!L56</f>
        <v>-31109</v>
      </c>
      <c r="S53" s="64">
        <f>'IST Zahlen'!L54</f>
        <v>0</v>
      </c>
      <c r="T53" s="39">
        <f>'PLAN Zahlen'!M56</f>
        <v>-31109</v>
      </c>
      <c r="U53" s="64">
        <f>'IST Zahlen'!M54</f>
        <v>-2380</v>
      </c>
      <c r="V53" s="39">
        <f>'PLAN Zahlen'!N56</f>
        <v>-31109</v>
      </c>
      <c r="W53" s="64">
        <f>'IST Zahlen'!N54</f>
        <v>-4330.6100000000006</v>
      </c>
      <c r="X53" s="39">
        <f>'PLAN Zahlen'!O56</f>
        <v>-31109</v>
      </c>
      <c r="Y53" s="64">
        <f>'IST Zahlen'!O54</f>
        <v>-12049.07</v>
      </c>
      <c r="Z53" s="39">
        <f>'PLAN Zahlen'!P56</f>
        <v>-31109</v>
      </c>
      <c r="AA53" s="64">
        <f>'IST Zahlen'!P54</f>
        <v>-13046.24</v>
      </c>
      <c r="AB53" s="39">
        <f>'PLAN Zahlen'!Q56</f>
        <v>-31109</v>
      </c>
      <c r="AC53" s="64">
        <f>'IST Zahlen'!Q54</f>
        <v>-9413.26</v>
      </c>
      <c r="AD53" s="39">
        <f>'PLAN Zahlen'!R56</f>
        <v>-31109</v>
      </c>
      <c r="AE53" s="64">
        <f>'IST Zahlen'!R54</f>
        <v>-38854.959999999999</v>
      </c>
      <c r="AF53" s="39">
        <f>'PLAN Zahlen'!S56</f>
        <v>-31109</v>
      </c>
      <c r="AG53" s="64">
        <f>'IST Zahlen'!S54</f>
        <v>-30970.27</v>
      </c>
      <c r="AH53" s="39"/>
    </row>
    <row r="54" spans="2:34" ht="12.75" thickBot="1" x14ac:dyDescent="0.25">
      <c r="B54" s="49"/>
      <c r="C54" s="56"/>
      <c r="D54" s="56"/>
      <c r="E54" s="92"/>
      <c r="F54" s="53"/>
      <c r="G54" s="57"/>
      <c r="H54" s="53"/>
      <c r="I54" s="58">
        <f>'IST Zahlen'!G55</f>
        <v>0</v>
      </c>
      <c r="J54" s="68">
        <f>'PLAN Zahlen'!H57</f>
        <v>0</v>
      </c>
      <c r="K54" s="58">
        <f>'IST Zahlen'!H55</f>
        <v>0</v>
      </c>
      <c r="L54" s="68">
        <f>'PLAN Zahlen'!I57</f>
        <v>0</v>
      </c>
      <c r="M54" s="58">
        <f>'IST Zahlen'!I55</f>
        <v>0</v>
      </c>
      <c r="N54" s="68">
        <f>'PLAN Zahlen'!J57</f>
        <v>0</v>
      </c>
      <c r="O54" s="58">
        <f>'IST Zahlen'!J55</f>
        <v>0</v>
      </c>
      <c r="P54" s="68">
        <f>'PLAN Zahlen'!K57</f>
        <v>0</v>
      </c>
      <c r="Q54" s="58">
        <f>'IST Zahlen'!K55</f>
        <v>0</v>
      </c>
      <c r="R54" s="68">
        <f>'PLAN Zahlen'!L57</f>
        <v>0</v>
      </c>
      <c r="S54" s="58">
        <f>'IST Zahlen'!L55</f>
        <v>0</v>
      </c>
      <c r="T54" s="68">
        <f>'PLAN Zahlen'!M57</f>
        <v>0</v>
      </c>
      <c r="U54" s="58">
        <f>'IST Zahlen'!M55</f>
        <v>0</v>
      </c>
      <c r="V54" s="68">
        <f>'PLAN Zahlen'!N57</f>
        <v>0</v>
      </c>
      <c r="W54" s="58">
        <f>'IST Zahlen'!N55</f>
        <v>0</v>
      </c>
      <c r="X54" s="68">
        <f>'PLAN Zahlen'!O57</f>
        <v>0</v>
      </c>
      <c r="Y54" s="58">
        <f>'IST Zahlen'!O55</f>
        <v>0</v>
      </c>
      <c r="Z54" s="68">
        <f>'PLAN Zahlen'!P57</f>
        <v>0</v>
      </c>
      <c r="AA54" s="58">
        <f>'IST Zahlen'!P55</f>
        <v>0</v>
      </c>
      <c r="AB54" s="68">
        <f>'PLAN Zahlen'!Q57</f>
        <v>0</v>
      </c>
      <c r="AC54" s="58">
        <f>'IST Zahlen'!Q55</f>
        <v>0</v>
      </c>
      <c r="AD54" s="68">
        <f>'PLAN Zahlen'!R57</f>
        <v>0</v>
      </c>
      <c r="AE54" s="58">
        <f>'IST Zahlen'!R55</f>
        <v>0</v>
      </c>
      <c r="AF54" s="68">
        <f>'PLAN Zahlen'!S57</f>
        <v>0</v>
      </c>
      <c r="AG54" s="58">
        <f>'IST Zahlen'!S55</f>
        <v>0</v>
      </c>
      <c r="AH54" s="68"/>
    </row>
    <row r="55" spans="2:34" ht="12.75" thickBot="1" x14ac:dyDescent="0.25">
      <c r="B55" s="49" t="s">
        <v>47</v>
      </c>
      <c r="C55" s="54" t="s">
        <v>55</v>
      </c>
      <c r="D55" s="54"/>
      <c r="E55" s="93"/>
      <c r="F55" s="55">
        <f>'PLAN Zahlen'!F58</f>
        <v>1334.9200000000019</v>
      </c>
      <c r="G55" s="54">
        <f>'IST Zahlen'!F56</f>
        <v>0</v>
      </c>
      <c r="H55" s="55">
        <f>'PLAN Zahlen'!G58</f>
        <v>2607</v>
      </c>
      <c r="I55" s="54">
        <f>'IST Zahlen'!G56</f>
        <v>0</v>
      </c>
      <c r="J55" s="55">
        <f>'PLAN Zahlen'!H58</f>
        <v>2341</v>
      </c>
      <c r="K55" s="54">
        <f>'IST Zahlen'!H56</f>
        <v>0</v>
      </c>
      <c r="L55" s="55">
        <f>'PLAN Zahlen'!I58</f>
        <v>2341</v>
      </c>
      <c r="M55" s="54">
        <f>'IST Zahlen'!I56</f>
        <v>0</v>
      </c>
      <c r="N55" s="55">
        <f>'PLAN Zahlen'!J58</f>
        <v>2341</v>
      </c>
      <c r="O55" s="54">
        <f>'IST Zahlen'!J56</f>
        <v>0</v>
      </c>
      <c r="P55" s="55">
        <f>'PLAN Zahlen'!K58</f>
        <v>891</v>
      </c>
      <c r="Q55" s="54">
        <f>'IST Zahlen'!K56</f>
        <v>0</v>
      </c>
      <c r="R55" s="55">
        <f>'PLAN Zahlen'!L58</f>
        <v>891</v>
      </c>
      <c r="S55" s="54">
        <f>'IST Zahlen'!L56</f>
        <v>0</v>
      </c>
      <c r="T55" s="55">
        <f>'PLAN Zahlen'!M58</f>
        <v>891</v>
      </c>
      <c r="U55" s="54">
        <f>'IST Zahlen'!M56</f>
        <v>44</v>
      </c>
      <c r="V55" s="55">
        <f>'PLAN Zahlen'!N58</f>
        <v>891</v>
      </c>
      <c r="W55" s="54">
        <f>'IST Zahlen'!N56</f>
        <v>16669.39</v>
      </c>
      <c r="X55" s="55">
        <f>'PLAN Zahlen'!O58</f>
        <v>891</v>
      </c>
      <c r="Y55" s="54">
        <f>'IST Zahlen'!O56</f>
        <v>-11636.869999999999</v>
      </c>
      <c r="Z55" s="55">
        <f>'PLAN Zahlen'!P58</f>
        <v>891</v>
      </c>
      <c r="AA55" s="54">
        <f>'IST Zahlen'!P56</f>
        <v>-4776.8000000000011</v>
      </c>
      <c r="AB55" s="55">
        <f>'PLAN Zahlen'!Q58</f>
        <v>891</v>
      </c>
      <c r="AC55" s="54">
        <f>'IST Zahlen'!Q56</f>
        <v>9254.6999999999989</v>
      </c>
      <c r="AD55" s="55">
        <f>'PLAN Zahlen'!R58</f>
        <v>891</v>
      </c>
      <c r="AE55" s="54">
        <f>'IST Zahlen'!R56</f>
        <v>4436.239999999998</v>
      </c>
      <c r="AF55" s="55">
        <f>'PLAN Zahlen'!S58</f>
        <v>891</v>
      </c>
      <c r="AG55" s="54">
        <f>'IST Zahlen'!S56</f>
        <v>-2051.2700000000004</v>
      </c>
      <c r="AH55" s="55"/>
    </row>
    <row r="56" spans="2:34" ht="12.75" thickBot="1" x14ac:dyDescent="0.25">
      <c r="B56" s="49"/>
      <c r="C56" s="77" t="s">
        <v>64</v>
      </c>
      <c r="D56" s="77"/>
      <c r="E56" s="94"/>
      <c r="F56" s="78"/>
      <c r="G56" s="79">
        <f>G55-F55</f>
        <v>-1334.9200000000019</v>
      </c>
      <c r="H56" s="80"/>
      <c r="I56" s="79">
        <f>I55-H55</f>
        <v>-2607</v>
      </c>
      <c r="J56" s="78"/>
      <c r="K56" s="79">
        <f>K55-J55</f>
        <v>-2341</v>
      </c>
      <c r="L56" s="78"/>
      <c r="M56" s="79">
        <f>M55-L55</f>
        <v>-2341</v>
      </c>
      <c r="N56" s="78"/>
      <c r="O56" s="79">
        <f>O55-N55</f>
        <v>-2341</v>
      </c>
      <c r="P56" s="78"/>
      <c r="Q56" s="79">
        <f>Q55-P55</f>
        <v>-891</v>
      </c>
      <c r="R56" s="78"/>
      <c r="S56" s="79">
        <f>S55-R55</f>
        <v>-891</v>
      </c>
      <c r="T56" s="78"/>
      <c r="U56" s="79">
        <f>U55-T55</f>
        <v>-847</v>
      </c>
      <c r="V56" s="78"/>
      <c r="W56" s="79">
        <f>W55-V55</f>
        <v>15778.39</v>
      </c>
      <c r="X56" s="78"/>
      <c r="Y56" s="79">
        <f>Y55-X55</f>
        <v>-12527.869999999999</v>
      </c>
      <c r="Z56" s="78"/>
      <c r="AA56" s="79">
        <f>AA55-Z55</f>
        <v>-5667.8000000000011</v>
      </c>
      <c r="AB56" s="78"/>
      <c r="AC56" s="79">
        <f>AC55-AB55</f>
        <v>8363.6999999999989</v>
      </c>
      <c r="AD56" s="78"/>
      <c r="AE56" s="79">
        <f>AE55-AD55</f>
        <v>3545.239999999998</v>
      </c>
      <c r="AF56" s="78"/>
      <c r="AG56" s="79">
        <f>AG55-AF55</f>
        <v>-2942.2700000000004</v>
      </c>
      <c r="AH56" s="80"/>
    </row>
    <row r="57" spans="2:34" ht="12.75" thickBot="1" x14ac:dyDescent="0.25">
      <c r="B57" s="49"/>
      <c r="C57" s="12"/>
      <c r="D57" s="12"/>
      <c r="E57" s="95"/>
      <c r="F57" s="53"/>
      <c r="G57" s="57"/>
      <c r="H57" s="41"/>
      <c r="I57" s="58"/>
      <c r="J57" s="68"/>
      <c r="K57" s="58"/>
      <c r="L57" s="68"/>
      <c r="M57" s="58"/>
      <c r="N57" s="68"/>
      <c r="O57" s="58"/>
      <c r="P57" s="68"/>
      <c r="Q57" s="58"/>
      <c r="R57" s="68"/>
      <c r="S57" s="58"/>
      <c r="T57" s="68"/>
      <c r="U57" s="58"/>
      <c r="V57" s="68"/>
      <c r="W57" s="58"/>
      <c r="X57" s="68"/>
      <c r="Y57" s="58"/>
      <c r="Z57" s="68"/>
      <c r="AA57" s="58"/>
      <c r="AB57" s="68"/>
      <c r="AC57" s="58"/>
      <c r="AD57" s="68"/>
      <c r="AE57" s="58"/>
      <c r="AF57" s="68"/>
      <c r="AG57" s="58"/>
      <c r="AH57" s="41"/>
    </row>
    <row r="58" spans="2:34" ht="12.75" thickBot="1" x14ac:dyDescent="0.25">
      <c r="B58" s="49" t="s">
        <v>48</v>
      </c>
      <c r="C58" s="22" t="s">
        <v>57</v>
      </c>
      <c r="D58" s="51"/>
      <c r="E58" s="96"/>
      <c r="F58" s="42">
        <f>'PLAN Zahlen'!F60</f>
        <v>1334.9200000000019</v>
      </c>
      <c r="G58" s="54">
        <f>'IST Zahlen'!F58</f>
        <v>0</v>
      </c>
      <c r="H58" s="42">
        <f>'PLAN Zahlen'!G60</f>
        <v>3941.9200000000019</v>
      </c>
      <c r="I58" s="54">
        <f>'IST Zahlen'!G58</f>
        <v>0</v>
      </c>
      <c r="J58" s="55">
        <f>'PLAN Zahlen'!H60</f>
        <v>6282.9200000000019</v>
      </c>
      <c r="K58" s="54">
        <f>'IST Zahlen'!H58</f>
        <v>0</v>
      </c>
      <c r="L58" s="55">
        <f>'PLAN Zahlen'!I60</f>
        <v>8623.9200000000019</v>
      </c>
      <c r="M58" s="54">
        <f>'IST Zahlen'!I58</f>
        <v>0</v>
      </c>
      <c r="N58" s="55">
        <f>'PLAN Zahlen'!J60</f>
        <v>10964.920000000002</v>
      </c>
      <c r="O58" s="54">
        <f>'IST Zahlen'!J58</f>
        <v>0</v>
      </c>
      <c r="P58" s="55">
        <f>'PLAN Zahlen'!K60</f>
        <v>11855.920000000002</v>
      </c>
      <c r="Q58" s="54">
        <f>'IST Zahlen'!K58</f>
        <v>0</v>
      </c>
      <c r="R58" s="55">
        <f>'PLAN Zahlen'!L60</f>
        <v>12746.920000000002</v>
      </c>
      <c r="S58" s="54">
        <f>'IST Zahlen'!L58</f>
        <v>0</v>
      </c>
      <c r="T58" s="55">
        <f>'PLAN Zahlen'!M60</f>
        <v>13637.920000000002</v>
      </c>
      <c r="U58" s="54">
        <f>'IST Zahlen'!M58</f>
        <v>44</v>
      </c>
      <c r="V58" s="55">
        <f>'PLAN Zahlen'!N60</f>
        <v>14528.920000000002</v>
      </c>
      <c r="W58" s="54">
        <f>'IST Zahlen'!N58</f>
        <v>16713.39</v>
      </c>
      <c r="X58" s="55">
        <f>'PLAN Zahlen'!O60</f>
        <v>15419.920000000002</v>
      </c>
      <c r="Y58" s="54">
        <f>'IST Zahlen'!O58</f>
        <v>5076.5200000000004</v>
      </c>
      <c r="Z58" s="55">
        <f>'PLAN Zahlen'!P60</f>
        <v>16310.920000000002</v>
      </c>
      <c r="AA58" s="54">
        <f>'IST Zahlen'!P58</f>
        <v>299.71999999999935</v>
      </c>
      <c r="AB58" s="55">
        <f>'PLAN Zahlen'!Q60</f>
        <v>17201.920000000002</v>
      </c>
      <c r="AC58" s="54">
        <f>'IST Zahlen'!Q58</f>
        <v>9554.4199999999983</v>
      </c>
      <c r="AD58" s="55">
        <f>'PLAN Zahlen'!R60</f>
        <v>18092.920000000002</v>
      </c>
      <c r="AE58" s="54">
        <f>'IST Zahlen'!R58</f>
        <v>13990.659999999996</v>
      </c>
      <c r="AF58" s="55">
        <f>'PLAN Zahlen'!S60</f>
        <v>18983.920000000002</v>
      </c>
      <c r="AG58" s="54">
        <f>'IST Zahlen'!S58</f>
        <v>11939.389999999996</v>
      </c>
      <c r="AH58" s="42"/>
    </row>
    <row r="59" spans="2:34" ht="12.75" thickBot="1" x14ac:dyDescent="0.25">
      <c r="B59" s="49"/>
      <c r="C59" s="77" t="s">
        <v>64</v>
      </c>
      <c r="D59" s="81"/>
      <c r="E59" s="97"/>
      <c r="F59" s="82"/>
      <c r="G59" s="81">
        <f>G58-F58</f>
        <v>-1334.9200000000019</v>
      </c>
      <c r="H59" s="82"/>
      <c r="I59" s="81">
        <f>I58-H58</f>
        <v>-3941.9200000000019</v>
      </c>
      <c r="J59" s="82"/>
      <c r="K59" s="81">
        <f>K58-J58</f>
        <v>-6282.9200000000019</v>
      </c>
      <c r="L59" s="82"/>
      <c r="M59" s="81">
        <f>M58-L58</f>
        <v>-8623.9200000000019</v>
      </c>
      <c r="N59" s="82"/>
      <c r="O59" s="81">
        <f>O58-N58</f>
        <v>-10964.920000000002</v>
      </c>
      <c r="P59" s="82"/>
      <c r="Q59" s="81">
        <f>Q58-P58</f>
        <v>-11855.920000000002</v>
      </c>
      <c r="R59" s="82"/>
      <c r="S59" s="81">
        <f>S58-R58</f>
        <v>-12746.920000000002</v>
      </c>
      <c r="T59" s="82"/>
      <c r="U59" s="81">
        <f>U58-T58</f>
        <v>-13593.920000000002</v>
      </c>
      <c r="V59" s="82"/>
      <c r="W59" s="81">
        <f>W58-V58</f>
        <v>2184.4699999999975</v>
      </c>
      <c r="X59" s="82"/>
      <c r="Y59" s="81">
        <f>Y58-X58</f>
        <v>-10343.400000000001</v>
      </c>
      <c r="Z59" s="82"/>
      <c r="AA59" s="81">
        <f>AA58-Z58</f>
        <v>-16011.200000000003</v>
      </c>
      <c r="AB59" s="82"/>
      <c r="AC59" s="81">
        <f>AC58-AB58</f>
        <v>-7647.5000000000036</v>
      </c>
      <c r="AD59" s="82"/>
      <c r="AE59" s="81">
        <f>AE58-AD58</f>
        <v>-4102.2600000000057</v>
      </c>
      <c r="AF59" s="82"/>
      <c r="AG59" s="83">
        <f>AG58-AF58</f>
        <v>-7044.5300000000061</v>
      </c>
      <c r="AH59" s="78"/>
    </row>
    <row r="60" spans="2:34" ht="12.75" thickBot="1" x14ac:dyDescent="0.25">
      <c r="B60" s="49"/>
      <c r="C60" s="69" t="s">
        <v>49</v>
      </c>
      <c r="D60" s="69"/>
      <c r="E60" s="98"/>
      <c r="F60" s="70"/>
      <c r="G60" s="69"/>
      <c r="H60" s="70"/>
      <c r="I60" s="69"/>
      <c r="J60" s="70"/>
      <c r="K60" s="69"/>
      <c r="L60" s="70"/>
      <c r="M60" s="69"/>
      <c r="N60" s="70"/>
      <c r="O60" s="69"/>
      <c r="P60" s="70"/>
      <c r="Q60" s="69"/>
      <c r="R60" s="70"/>
      <c r="S60" s="69"/>
      <c r="T60" s="70"/>
      <c r="U60" s="69"/>
      <c r="V60" s="70"/>
      <c r="W60" s="69"/>
      <c r="X60" s="70"/>
      <c r="Y60" s="69"/>
      <c r="Z60" s="70"/>
      <c r="AA60" s="69"/>
      <c r="AB60" s="70"/>
      <c r="AC60" s="69"/>
      <c r="AD60" s="70"/>
      <c r="AE60" s="69"/>
      <c r="AF60" s="70"/>
      <c r="AG60" s="69"/>
      <c r="AH60" s="36"/>
    </row>
    <row r="61" spans="2:34" ht="12.75" thickBot="1" x14ac:dyDescent="0.25">
      <c r="B61" s="49" t="s">
        <v>56</v>
      </c>
      <c r="C61" s="54" t="s">
        <v>15</v>
      </c>
      <c r="D61" s="54"/>
      <c r="E61" s="93"/>
      <c r="F61" s="55">
        <f>'PLAN Zahlen'!F62</f>
        <v>1334.9200000000019</v>
      </c>
      <c r="G61" s="54">
        <f>'IST Zahlen'!F60</f>
        <v>0</v>
      </c>
      <c r="H61" s="55">
        <f>'PLAN Zahlen'!G62</f>
        <v>3941.9200000000019</v>
      </c>
      <c r="I61" s="54">
        <f>'IST Zahlen'!G60</f>
        <v>0</v>
      </c>
      <c r="J61" s="55">
        <f>'PLAN Zahlen'!H62</f>
        <v>6282.9200000000019</v>
      </c>
      <c r="K61" s="54">
        <f>'IST Zahlen'!H60</f>
        <v>0</v>
      </c>
      <c r="L61" s="55">
        <f>'PLAN Zahlen'!I62</f>
        <v>8623.9200000000019</v>
      </c>
      <c r="M61" s="54">
        <f>'IST Zahlen'!I60</f>
        <v>0</v>
      </c>
      <c r="N61" s="55">
        <f>'PLAN Zahlen'!J62</f>
        <v>10964.920000000002</v>
      </c>
      <c r="O61" s="54">
        <f>'IST Zahlen'!J60</f>
        <v>0</v>
      </c>
      <c r="P61" s="55">
        <f>'PLAN Zahlen'!K62</f>
        <v>11855.920000000002</v>
      </c>
      <c r="Q61" s="54">
        <f>'IST Zahlen'!K60</f>
        <v>0</v>
      </c>
      <c r="R61" s="61">
        <f>'PLAN Zahlen'!L62</f>
        <v>12746.920000000002</v>
      </c>
      <c r="S61" s="54">
        <f>'IST Zahlen'!L60</f>
        <v>0</v>
      </c>
      <c r="T61" s="55">
        <f>'PLAN Zahlen'!M62</f>
        <v>13637.920000000002</v>
      </c>
      <c r="U61" s="54">
        <f>'IST Zahlen'!M60</f>
        <v>44</v>
      </c>
      <c r="V61" s="55">
        <f>'PLAN Zahlen'!N62</f>
        <v>14528.920000000002</v>
      </c>
      <c r="W61" s="54">
        <f>'IST Zahlen'!N60</f>
        <v>16713.39</v>
      </c>
      <c r="X61" s="55">
        <f>'PLAN Zahlen'!O62</f>
        <v>15419.920000000002</v>
      </c>
      <c r="Y61" s="54">
        <f>'IST Zahlen'!O60</f>
        <v>5076.5200000000004</v>
      </c>
      <c r="Z61" s="55">
        <f>'PLAN Zahlen'!P62</f>
        <v>16310.920000000002</v>
      </c>
      <c r="AA61" s="54">
        <f>'IST Zahlen'!P60</f>
        <v>299.71999999999935</v>
      </c>
      <c r="AB61" s="55">
        <f>'PLAN Zahlen'!Q62</f>
        <v>17201.920000000002</v>
      </c>
      <c r="AC61" s="54">
        <f>'IST Zahlen'!Q60</f>
        <v>9554.4199999999983</v>
      </c>
      <c r="AD61" s="55">
        <f>'PLAN Zahlen'!R62</f>
        <v>18092.920000000002</v>
      </c>
      <c r="AE61" s="54">
        <f>'IST Zahlen'!R60</f>
        <v>13990.659999999996</v>
      </c>
      <c r="AF61" s="55">
        <f>'PLAN Zahlen'!S62</f>
        <v>18983.920000000002</v>
      </c>
      <c r="AG61" s="54">
        <f>'IST Zahlen'!S60</f>
        <v>11939.389999999996</v>
      </c>
      <c r="AH61" s="42"/>
    </row>
    <row r="62" spans="2:34" x14ac:dyDescent="0.2">
      <c r="G62" t="s">
        <v>49</v>
      </c>
    </row>
  </sheetData>
  <mergeCells count="14">
    <mergeCell ref="P4:Q4"/>
    <mergeCell ref="F4:G4"/>
    <mergeCell ref="H4:I4"/>
    <mergeCell ref="J4:K4"/>
    <mergeCell ref="L4:M4"/>
    <mergeCell ref="N4:O4"/>
    <mergeCell ref="AD4:AE4"/>
    <mergeCell ref="AF4:AG4"/>
    <mergeCell ref="R4:S4"/>
    <mergeCell ref="T4:U4"/>
    <mergeCell ref="V4:W4"/>
    <mergeCell ref="X4:Y4"/>
    <mergeCell ref="AB4:AC4"/>
    <mergeCell ref="Z4:AA4"/>
  </mergeCells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03700A8FCC04EA8D57FAEFAFFB663" ma:contentTypeVersion="0" ma:contentTypeDescription="Create a new document." ma:contentTypeScope="" ma:versionID="0487784a98a71a3d2abb319eaa9f30b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BSO999929 xmlns="http://www.datev.de/BSOffice/999929">9a3a4b31-13bb-4553-86e8-630f2286413a</BSO999929>
</file>

<file path=customXml/itemProps1.xml><?xml version="1.0" encoding="utf-8"?>
<ds:datastoreItem xmlns:ds="http://schemas.openxmlformats.org/officeDocument/2006/customXml" ds:itemID="{0E0C9CD0-5D04-48E3-8D84-E1586BEAE316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0FD9ECE-25B8-4D5A-ADE7-16D1DCE63DC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0C92527-A514-451E-9A80-A25E41251409}">
  <ds:schemaRefs>
    <ds:schemaRef ds:uri="http://schemas.microsoft.com/office/2006/metadata/properties"/>
    <ds:schemaRef ds:uri="http://www.w3.org/2000/xmlns/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D097A183-5084-44F7-898B-CAA67FA2EF1C}">
  <ds:schemaRefs>
    <ds:schemaRef ds:uri="http://www.datev.de/BSOffice/99992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PLAN Zahlen</vt:lpstr>
      <vt:lpstr>IST Zahlen</vt:lpstr>
      <vt:lpstr>Vergleich</vt:lpstr>
    </vt:vector>
  </TitlesOfParts>
  <Company>PricewaterhouseCoopers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Warias, Roman</dc:creator>
  <cp:lastModifiedBy>Kurt Goschau</cp:lastModifiedBy>
  <cp:lastPrinted>2016-03-16T14:25:28Z</cp:lastPrinted>
  <dcterms:created xsi:type="dcterms:W3CDTF">2009-01-23T10:19:39Z</dcterms:created>
  <dcterms:modified xsi:type="dcterms:W3CDTF">2022-09-23T15:38:39Z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randFormat">
    <vt:lpwstr>1.0</vt:lpwstr>
  </property>
  <property fmtid="{D5CDD505-2E9C-101B-9397-08002B2CF9AE}" pid="3" name="Smart Base Template Version">
    <vt:lpwstr>20110718v3</vt:lpwstr>
  </property>
  <property fmtid="{D5CDD505-2E9C-101B-9397-08002B2CF9AE}" pid="4" name="Smrt_NotesFontSize">
    <vt:lpwstr>8</vt:lpwstr>
  </property>
  <property fmtid="{D5CDD505-2E9C-101B-9397-08002B2CF9AE}" pid="5" name="Smrt_WorkbookThemeColor">
    <vt:lpwstr>Smart Report</vt:lpwstr>
  </property>
  <property fmtid="{D5CDD505-2E9C-101B-9397-08002B2CF9AE}" pid="6" name="Smrt_WorkbookNumberDisplay">
    <vt:lpwstr>0</vt:lpwstr>
  </property>
  <property fmtid="{D5CDD505-2E9C-101B-9397-08002B2CF9AE}" pid="7" name="Smrt_WorkbookPercentageDisplay">
    <vt:lpwstr>0</vt:lpwstr>
  </property>
  <property fmtid="{D5CDD505-2E9C-101B-9397-08002B2CF9AE}" pid="8" name="ContentTypeId">
    <vt:lpwstr>0x01010079F03700A8FCC04EA8D57FAEFAFFB663</vt:lpwstr>
  </property>
</Properties>
</file>